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sultados Marshall" sheetId="1" state="visible" r:id="rId1"/>
    <sheet name="Gráfico Marshall" sheetId="2" state="visible" r:id="rId2"/>
    <sheet name="Referencia UNE" sheetId="3" state="visible" r:id="rId3"/>
    <sheet name="Configuración" sheetId="4" state="visible" r:id="rId4"/>
  </sheets>
  <definedNames>
    <definedName name="_xlnm.Print_Area" localSheetId="1">'Gráfico Marshall'!$A$1:$S$37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b val="1"/>
      <color rgb="0014505B"/>
      <sz val="12"/>
    </font>
    <font>
      <b val="1"/>
      <color rgb="00FFFFFF"/>
    </font>
    <font>
      <b val="1"/>
      <color rgb="0014505B"/>
      <sz val="17"/>
    </font>
    <font>
      <color rgb="0055636B"/>
      <sz val="11"/>
    </font>
    <font>
      <color rgb="0014505B"/>
      <sz val="10"/>
    </font>
    <font>
      <i val="1"/>
      <color rgb="0055636B"/>
      <sz val="10"/>
    </font>
    <font>
      <b val="1"/>
      <color rgb="0014505B"/>
      <sz val="11"/>
    </font>
  </fonts>
  <fills count="7">
    <fill>
      <patternFill/>
    </fill>
    <fill>
      <patternFill patternType="gray125"/>
    </fill>
    <fill>
      <patternFill patternType="solid">
        <fgColor rgb="00F1F6F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4505B"/>
      </patternFill>
    </fill>
    <fill>
      <patternFill patternType="solid">
        <fgColor rgb="00115E67"/>
      </patternFill>
    </fill>
  </fills>
  <borders count="2">
    <border>
      <left/>
      <right/>
      <top/>
      <bottom/>
      <diagonal/>
    </border>
    <border>
      <bottom style="thin">
        <color rgb="00C59B3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5" borderId="0" applyAlignment="1" pivotButton="0" quotePrefix="0" xfId="0">
      <alignment vertical="center" wrapText="1"/>
    </xf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2" borderId="0" pivotButton="0" quotePrefix="0" xfId="0"/>
    <xf numFmtId="1" fontId="1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vertical="center" wrapText="1"/>
    </xf>
    <xf numFmtId="0" fontId="0" fillId="3" borderId="0" pivotButton="0" quotePrefix="0" xfId="0"/>
    <xf numFmtId="164" fontId="1" fillId="3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right" vertical="center"/>
    </xf>
    <xf numFmtId="2" fontId="1" fillId="3" borderId="0" applyAlignment="1" pivotButton="0" quotePrefix="0" xfId="0">
      <alignment horizontal="right" vertical="center"/>
    </xf>
    <xf numFmtId="165" fontId="1" fillId="2" borderId="0" applyAlignment="1" pivotButton="0" quotePrefix="0" xfId="0">
      <alignment horizontal="right" vertical="center"/>
    </xf>
    <xf numFmtId="0" fontId="7" fillId="0" borderId="0" pivotButton="0" quotePrefix="0" xfId="0"/>
    <xf numFmtId="164" fontId="0" fillId="4" borderId="1" pivotButton="0" quotePrefix="0" xfId="0"/>
    <xf numFmtId="1" fontId="0" fillId="4" borderId="1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Fuerza–deformación</a:t>
            </a:r>
          </a:p>
        </rich>
      </tx>
    </title>
    <plotArea>
      <scatterChart>
        <scatterStyle val="line"/>
        <ser>
          <idx val="0"/>
          <order val="0"/>
          <tx>
            <v>Ensayo</v>
          </tx>
          <spPr>
            <a:ln>
              <a:solidFill>
                <a:srgbClr val="14616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'Resultados Marshall'!$A$2:$A$146</f>
            </numRef>
          </xVal>
          <yVal>
            <numRef>
              <f>'Resultados Marshall'!$B$2:$B$146</f>
            </numRef>
          </yVal>
        </ser>
        <ser>
          <idx val="1"/>
          <order val="1"/>
          <tx>
            <v>Desde carga máxima</v>
          </tx>
          <spPr>
            <a:ln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'Resultados Marshall'!$A$106:$A$146</f>
            </numRef>
          </xVal>
          <yVal>
            <numRef>
              <f>'Resultados Marshall'!$B$106:$B$146</f>
            </numRef>
          </yVal>
        </ser>
        <ser>
          <idx val="2"/>
          <order val="2"/>
          <tx>
            <v>Tangente estimada</v>
          </tx>
          <spPr>
            <a:ln>
              <a:solidFill>
                <a:srgbClr val="D5892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'Resultados Marshall'!$G$25:$G$26</f>
            </numRef>
          </xVal>
          <yVal>
            <numRef>
              <f>'Resultados Marshall'!$H$25:$H$26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Deformación (mm)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Fuerza (kp)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ienda.aenor.com/p/norma-une-en-12697-34-2022-n0068669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tienda.aenor.com/p/norma-une-en-12697-34-2022-n00686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46" customWidth="1" min="7" max="7"/>
    <col width="48" customWidth="1" min="8" max="8"/>
  </cols>
  <sheetData>
    <row r="1" ht="34" customHeight="1">
      <c r="A1" s="1" t="inlineStr">
        <is>
          <t>Deformación (mm)</t>
        </is>
      </c>
      <c r="B1" s="1" t="inlineStr">
        <is>
          <t>Carga media (kp)</t>
        </is>
      </c>
      <c r="C1" s="1" t="inlineStr">
        <is>
          <t>Tiempo (s)</t>
        </is>
      </c>
      <c r="D1" s="1" t="inlineStr">
        <is>
          <t>Diferencia carga (kp)</t>
        </is>
      </c>
      <c r="E1" s="1" t="inlineStr">
        <is>
          <t>Media 5 diferencias (kp)</t>
        </is>
      </c>
      <c r="F1" s="1" t="inlineStr">
        <is>
          <t>Lecturas por punto</t>
        </is>
      </c>
      <c r="G1" s="1" t="inlineStr">
        <is>
          <t>Resultado UNE</t>
        </is>
      </c>
      <c r="H1" s="1" t="inlineStr">
        <is>
          <t>Valor</t>
        </is>
      </c>
    </row>
    <row r="2">
      <c r="A2" s="2" t="n">
        <v>0</v>
      </c>
      <c r="B2" s="2" t="n">
        <v>1.611700233372214</v>
      </c>
      <c r="C2" s="2" t="n">
        <v>0.1105530000058934</v>
      </c>
      <c r="F2" s="2" t="n">
        <v>10</v>
      </c>
      <c r="G2" t="inlineStr">
        <is>
          <t>Carga máxima (kp)</t>
        </is>
      </c>
      <c r="H2" s="3" t="n">
        <v>1752.227981446908</v>
      </c>
    </row>
    <row r="3">
      <c r="A3" s="2" t="n">
        <v>0</v>
      </c>
      <c r="B3" s="2" t="n">
        <v>1.143553875645937</v>
      </c>
      <c r="C3" s="2" t="n">
        <v>0.2184147000079975</v>
      </c>
      <c r="D3" s="2" t="n">
        <v>-0.4681463577262766</v>
      </c>
      <c r="F3" s="2" t="n">
        <v>10</v>
      </c>
      <c r="G3" t="inlineStr">
        <is>
          <t>Carga máxima sin corregir (kN)</t>
        </is>
      </c>
      <c r="H3" s="4" t="n">
        <v>17.2</v>
      </c>
    </row>
    <row r="4">
      <c r="A4" s="2" t="n">
        <v>0</v>
      </c>
      <c r="B4" s="2" t="n">
        <v>0.837130805134177</v>
      </c>
      <c r="C4" s="2" t="n">
        <v>0.3201769998995587</v>
      </c>
      <c r="D4" s="2" t="n">
        <v>-0.3064230705117601</v>
      </c>
      <c r="F4" s="2" t="n">
        <v>10</v>
      </c>
      <c r="G4" t="inlineStr">
        <is>
          <t>Estabilidad S corregida (kN)</t>
        </is>
      </c>
      <c r="H4" s="4">
        <f>IF(AND(ISNUMBER(H18),ISNUMBER(H20)),ROUND(H20*H18,1),"Pendiente h/v")</f>
        <v/>
      </c>
    </row>
    <row r="5">
      <c r="A5" s="2" t="n">
        <v>0</v>
      </c>
      <c r="B5" s="2" t="n">
        <v>1.686178063010487</v>
      </c>
      <c r="C5" s="2" t="n">
        <v>0.4410618999972939</v>
      </c>
      <c r="D5" s="2" t="n">
        <v>0.8490472578763104</v>
      </c>
      <c r="E5" s="2" t="n">
        <v>1.865174681370263e-15</v>
      </c>
      <c r="F5" s="2" t="n">
        <v>10</v>
      </c>
      <c r="G5" t="inlineStr">
        <is>
          <t>Deformación F corregida (mm)</t>
        </is>
      </c>
      <c r="H5" s="4" t="n">
        <v>1.8</v>
      </c>
    </row>
    <row r="6">
      <c r="A6" s="2" t="n">
        <v>0</v>
      </c>
      <c r="B6" s="2" t="n">
        <v>1.313788914819124</v>
      </c>
      <c r="C6" s="2" t="n">
        <v>0.5448483999352902</v>
      </c>
      <c r="D6" s="2" t="n">
        <v>-0.3723891481913637</v>
      </c>
      <c r="E6" s="2" t="n">
        <v>-0.04043082180363666</v>
      </c>
      <c r="F6" s="2" t="n">
        <v>10</v>
      </c>
      <c r="G6" t="inlineStr">
        <is>
          <t>Deformación tangencial Ft (mm)</t>
        </is>
      </c>
      <c r="H6" s="4" t="n">
        <v>1.1</v>
      </c>
    </row>
    <row r="7">
      <c r="A7" s="2" t="n">
        <v>0</v>
      </c>
      <c r="B7" s="2" t="n">
        <v>1.611700233372223</v>
      </c>
      <c r="C7" s="2" t="n">
        <v>0.6711792999412864</v>
      </c>
      <c r="D7" s="2" t="n">
        <v>0.2979113185530993</v>
      </c>
      <c r="E7" s="2" t="n">
        <v>0.1293786297716299</v>
      </c>
      <c r="F7" s="2" t="n">
        <v>10</v>
      </c>
      <c r="G7" t="inlineStr">
        <is>
          <t>Deformación total FT (mm)</t>
        </is>
      </c>
      <c r="H7" s="4" t="n">
        <v>4</v>
      </c>
    </row>
    <row r="8">
      <c r="A8" s="2" t="n">
        <v>0</v>
      </c>
      <c r="B8" s="2" t="n">
        <v>0.9413997666277538</v>
      </c>
      <c r="C8" s="2" t="n">
        <v>0.7944895999971777</v>
      </c>
      <c r="D8" s="2" t="n">
        <v>-0.6703004667444692</v>
      </c>
      <c r="E8" s="2" t="n">
        <v>-0.1117167444574108</v>
      </c>
      <c r="F8" s="2" t="n">
        <v>10</v>
      </c>
      <c r="G8" t="inlineStr">
        <is>
          <t>Cociente Marshall S/F (kN/mm)</t>
        </is>
      </c>
      <c r="H8" s="4">
        <f>IF(AND(ISNUMBER(H18),ISNUMBER(H20),ISNUMBER(H21),H21&gt;0),ROUND(H20*H18/H21,1),"Pendiente h/v o F")</f>
        <v/>
      </c>
    </row>
    <row r="9">
      <c r="A9" s="2" t="n">
        <v>0</v>
      </c>
      <c r="B9" s="2" t="n">
        <v>1.484023953992326</v>
      </c>
      <c r="C9" s="2" t="n">
        <v>0.9086716999299824</v>
      </c>
      <c r="D9" s="2" t="n">
        <v>0.5426241873645725</v>
      </c>
      <c r="E9" s="2" t="n">
        <v>0.03723891481913535</v>
      </c>
      <c r="F9" s="2" t="n">
        <v>10</v>
      </c>
      <c r="G9" t="inlineStr">
        <is>
          <t>Cero de la tangente A (mm)</t>
        </is>
      </c>
      <c r="H9" s="5" t="n">
        <v>2.182360924351125</v>
      </c>
    </row>
    <row r="10">
      <c r="A10" s="2" t="n">
        <v>0</v>
      </c>
      <c r="B10" s="2" t="n">
        <v>1.127594340723434</v>
      </c>
      <c r="C10" s="2" t="n">
        <v>1.010404399945401</v>
      </c>
      <c r="D10" s="2" t="n">
        <v>-0.3564296132688927</v>
      </c>
      <c r="E10" s="2" t="n">
        <v>-0.2085379229871686</v>
      </c>
      <c r="F10" s="2" t="n">
        <v>10</v>
      </c>
      <c r="G10" t="inlineStr">
        <is>
          <t>Factor de corrección c</t>
        </is>
      </c>
      <c r="H10" s="5">
        <f>IF(ISNUMBER(H18),H18,"Pendiente h/v")</f>
        <v/>
      </c>
    </row>
    <row r="11">
      <c r="A11" s="2" t="n">
        <v>0</v>
      </c>
      <c r="B11" s="2" t="n">
        <v>1.4999834889148</v>
      </c>
      <c r="C11" s="2" t="n">
        <v>1.119842399959452</v>
      </c>
      <c r="D11" s="2" t="n">
        <v>0.3723891481913668</v>
      </c>
      <c r="E11" s="2" t="n">
        <v>0.0319190698449757</v>
      </c>
      <c r="F11" s="2" t="n">
        <v>10</v>
      </c>
    </row>
    <row r="12" ht="32" customHeight="1">
      <c r="A12" s="2" t="n">
        <v>0</v>
      </c>
      <c r="B12" s="2" t="n">
        <v>0.5690106184363799</v>
      </c>
      <c r="C12" s="2" t="n">
        <v>1.231533499900252</v>
      </c>
      <c r="D12" s="2" t="n">
        <v>-0.9309728704784206</v>
      </c>
      <c r="E12" s="2" t="n">
        <v>0.03404700783463732</v>
      </c>
      <c r="F12" s="2" t="n">
        <v>10</v>
      </c>
      <c r="G12" t="inlineStr">
        <is>
          <t>Referencia</t>
        </is>
      </c>
      <c r="H12" s="6" t="inlineStr">
        <is>
          <t>UNE-EN 12697-34:2022</t>
        </is>
      </c>
    </row>
    <row r="13" ht="32" customHeight="1">
      <c r="A13" s="2" t="n">
        <v>0</v>
      </c>
      <c r="B13" s="2" t="n">
        <v>1.100995115852632</v>
      </c>
      <c r="C13" s="2" t="n">
        <v>1.337618999998085</v>
      </c>
      <c r="D13" s="2" t="n">
        <v>0.5319844974162524</v>
      </c>
      <c r="E13" s="2" t="n">
        <v>-0.07447782963827194</v>
      </c>
      <c r="F13" s="2" t="n">
        <v>10</v>
      </c>
      <c r="G13" t="inlineStr">
        <is>
          <t>Apartados</t>
        </is>
      </c>
      <c r="H13" s="6" t="inlineStr">
        <is>
          <t>3.1–3.5; 7.1–7.4; anexo A, figura A.1</t>
        </is>
      </c>
    </row>
    <row r="14" ht="32" customHeight="1">
      <c r="A14" s="2" t="n">
        <v>0</v>
      </c>
      <c r="B14" s="2" t="n">
        <v>1.654258993165513</v>
      </c>
      <c r="C14" s="2" t="n">
        <v>1.446619899943471</v>
      </c>
      <c r="D14" s="2" t="n">
        <v>0.5532638773128806</v>
      </c>
      <c r="E14" s="2" t="n">
        <v>-0.04468669778296146</v>
      </c>
      <c r="F14" s="2" t="n">
        <v>10</v>
      </c>
      <c r="G14" t="inlineStr">
        <is>
          <t>Procesado</t>
        </is>
      </c>
      <c r="H14" s="6" t="inlineStr">
        <is>
          <t>Media de 10 lecturas por punto; último bloque parcial incluido</t>
        </is>
      </c>
    </row>
    <row r="15">
      <c r="A15" s="2" t="n">
        <v>0</v>
      </c>
      <c r="B15" s="2" t="n">
        <v>0.755205192532074</v>
      </c>
      <c r="C15" s="2" t="n">
        <v>1.552683499990962</v>
      </c>
      <c r="D15" s="2" t="n">
        <v>-0.899053800633439</v>
      </c>
      <c r="E15" s="2" t="n">
        <v>0.327702450408403</v>
      </c>
      <c r="F15" s="2" t="n">
        <v>10</v>
      </c>
    </row>
    <row r="16">
      <c r="A16" s="2" t="n">
        <v>0</v>
      </c>
      <c r="B16" s="2" t="n">
        <v>1.276549999999993</v>
      </c>
      <c r="C16" s="2" t="n">
        <v>1.660858999937773</v>
      </c>
      <c r="D16" s="2" t="n">
        <v>0.5213448074679192</v>
      </c>
      <c r="E16" s="2" t="n">
        <v>0.2014447963549474</v>
      </c>
      <c r="F16" s="2" t="n">
        <v>10</v>
      </c>
      <c r="G16" t="inlineStr">
        <is>
          <t>Altura h (mm)</t>
        </is>
      </c>
      <c r="H16">
        <f>IF(ISNUMBER('Gráfico Marshall'!R20),'Gráfico Marshall'!R20,"")</f>
        <v/>
      </c>
    </row>
    <row r="17">
      <c r="A17" s="2" t="n">
        <v>0</v>
      </c>
      <c r="B17" s="2" t="n">
        <v>2.207522870478395</v>
      </c>
      <c r="C17" s="2" t="n">
        <v>1.801618599914946</v>
      </c>
      <c r="D17" s="2" t="n">
        <v>0.9309728704784015</v>
      </c>
      <c r="E17" s="2" t="n">
        <v>-0.0680940156692782</v>
      </c>
      <c r="F17" s="2" t="n">
        <v>10</v>
      </c>
      <c r="G17" t="inlineStr">
        <is>
          <t>Volumen v (mm³)</t>
        </is>
      </c>
      <c r="H17">
        <f>IF(ISNUMBER('Gráfico Marshall'!R21),'Gráfico Marshall'!R21,"")</f>
        <v/>
      </c>
    </row>
    <row r="18">
      <c r="A18" s="2" t="n">
        <v>0</v>
      </c>
      <c r="B18" s="2" t="n">
        <v>2.108219097627369</v>
      </c>
      <c r="C18" s="2" t="n">
        <v>1.909392699948512</v>
      </c>
      <c r="D18" s="2" t="n">
        <v>-0.09930377285102532</v>
      </c>
      <c r="E18" s="2" t="n">
        <v>0.1415078763127184</v>
      </c>
      <c r="F18" s="2" t="n">
        <v>10</v>
      </c>
      <c r="G18" t="inlineStr">
        <is>
          <t>Factor c, 7.1 fórmula (1)</t>
        </is>
      </c>
      <c r="H18">
        <f>IF(AND(ISNUMBER(H16),H16&gt;0),5.2*EXP(-0.0259*H16),IF(AND(ISNUMBER(H17),H17&gt;0),5.2*EXP(-0.0000032*H17),""))</f>
        <v/>
      </c>
    </row>
    <row r="19">
      <c r="A19" s="2" t="n">
        <v>0</v>
      </c>
      <c r="B19" s="2" t="n">
        <v>1.313788914819122</v>
      </c>
      <c r="C19" s="2" t="n">
        <v>2.026555799995549</v>
      </c>
      <c r="D19" s="2" t="n">
        <v>-0.7944301828082474</v>
      </c>
      <c r="E19" s="2" t="n">
        <v>-0.03227372617658517</v>
      </c>
      <c r="F19" s="2" t="n">
        <v>10</v>
      </c>
    </row>
    <row r="20">
      <c r="A20" s="2" t="n">
        <v>0</v>
      </c>
      <c r="B20" s="2" t="n">
        <v>1.462744574095666</v>
      </c>
      <c r="C20" s="2" t="n">
        <v>2.14877849991899</v>
      </c>
      <c r="D20" s="2" t="n">
        <v>0.148955659276544</v>
      </c>
      <c r="E20" s="2" t="n">
        <v>-0.1429974329054831</v>
      </c>
      <c r="F20" s="2" t="n">
        <v>10</v>
      </c>
      <c r="G20" t="inlineStr">
        <is>
          <t>Carga máxima exacta (kN)</t>
        </is>
      </c>
      <c r="H20" s="5" t="n">
        <v>17.18348653425632</v>
      </c>
    </row>
    <row r="21">
      <c r="A21" s="2" t="n">
        <v>0</v>
      </c>
      <c r="B21" s="2" t="n">
        <v>1.115181369117067</v>
      </c>
      <c r="C21" s="2" t="n">
        <v>2.250922199920751</v>
      </c>
      <c r="D21" s="2" t="n">
        <v>-0.3475632049785986</v>
      </c>
      <c r="E21" s="2" t="n">
        <v>-0.2979113185530934</v>
      </c>
      <c r="F21" s="2" t="n">
        <v>10</v>
      </c>
      <c r="G21" t="inlineStr">
        <is>
          <t>F exacta (mm)</t>
        </is>
      </c>
      <c r="H21" s="5" t="n">
        <v>1.813009329562755</v>
      </c>
    </row>
    <row r="22">
      <c r="A22" s="2" t="n">
        <v>0</v>
      </c>
      <c r="B22" s="2" t="n">
        <v>1.492535705950979</v>
      </c>
      <c r="C22" s="2" t="n">
        <v>2.375721699907444</v>
      </c>
      <c r="D22" s="2" t="n">
        <v>0.3773543368339118</v>
      </c>
      <c r="E22" s="2" t="n">
        <v>0.01191645274212534</v>
      </c>
      <c r="F22" s="2" t="n">
        <v>10</v>
      </c>
      <c r="G22" t="inlineStr">
        <is>
          <t>Pendiente automática (kp/mm)</t>
        </is>
      </c>
      <c r="H22" s="5" t="n">
        <v>1659.989820550961</v>
      </c>
    </row>
    <row r="23">
      <c r="A23" s="2" t="n">
        <v>0</v>
      </c>
      <c r="B23" s="2" t="n">
        <v>0.6186625048619021</v>
      </c>
      <c r="C23" s="2" t="n">
        <v>2.483307499904186</v>
      </c>
      <c r="D23" s="2" t="n">
        <v>-0.8738732010890771</v>
      </c>
      <c r="E23" s="2" t="n">
        <v>-0.1936423570595082</v>
      </c>
      <c r="F23" s="2" t="n">
        <v>10</v>
      </c>
    </row>
    <row r="24">
      <c r="A24" s="2" t="n">
        <v>0</v>
      </c>
      <c r="B24" s="2" t="n">
        <v>1.373371178529749</v>
      </c>
      <c r="C24" s="2" t="n">
        <v>2.601818999974057</v>
      </c>
      <c r="D24" s="2" t="n">
        <v>0.7547086736678466</v>
      </c>
      <c r="E24" s="2" t="n">
        <v>0.01986075457020511</v>
      </c>
      <c r="F24" s="2" t="n">
        <v>10</v>
      </c>
      <c r="G24" t="inlineStr">
        <is>
          <t>Tangente X (mm)</t>
        </is>
      </c>
      <c r="H24" t="inlineStr">
        <is>
          <t>Tangente Y (kp)</t>
        </is>
      </c>
    </row>
    <row r="25">
      <c r="A25" s="2" t="n">
        <v>0</v>
      </c>
      <c r="B25" s="2" t="n">
        <v>0.494532788798125</v>
      </c>
      <c r="C25" s="2" t="n">
        <v>2.727697599912062</v>
      </c>
      <c r="D25" s="2" t="n">
        <v>-0.8788383897316236</v>
      </c>
      <c r="E25" s="2" t="n">
        <v>-0.04766581096849674</v>
      </c>
      <c r="F25" s="2" t="n">
        <v>10</v>
      </c>
      <c r="G25" s="2" t="n">
        <v>2.182360924351125</v>
      </c>
      <c r="H25" s="5" t="n">
        <v>0</v>
      </c>
    </row>
    <row r="26">
      <c r="A26" s="2" t="n">
        <v>0</v>
      </c>
      <c r="B26" s="2" t="n">
        <v>1.214485141968093</v>
      </c>
      <c r="C26" s="2" t="n">
        <v>2.82473959994968</v>
      </c>
      <c r="D26" s="2" t="n">
        <v>0.7199523531699679</v>
      </c>
      <c r="E26" s="2" t="n">
        <v>0.2135031116297156</v>
      </c>
      <c r="F26" s="2" t="n">
        <v>10</v>
      </c>
      <c r="G26" s="2" t="n">
        <v>3.237926422256006</v>
      </c>
      <c r="H26" s="5" t="n">
        <v>1752.227981446908</v>
      </c>
    </row>
    <row r="27">
      <c r="A27" s="2" t="n">
        <v>0</v>
      </c>
      <c r="B27" s="2" t="n">
        <v>1.254206651108495</v>
      </c>
      <c r="C27" s="2" t="n">
        <v>2.948435599915683</v>
      </c>
      <c r="D27" s="2" t="n">
        <v>0.03972150914040262</v>
      </c>
      <c r="E27" s="2" t="n">
        <v>0.08738732010890442</v>
      </c>
      <c r="F27" s="2" t="n">
        <v>10</v>
      </c>
    </row>
    <row r="28">
      <c r="A28" s="2" t="n">
        <v>0</v>
      </c>
      <c r="B28" s="2" t="n">
        <v>1.68617806301048</v>
      </c>
      <c r="C28" s="2" t="n">
        <v>3.05650649999734</v>
      </c>
      <c r="D28" s="2" t="n">
        <v>0.4319714119019848</v>
      </c>
      <c r="E28" s="2" t="n">
        <v>0.08724545757626093</v>
      </c>
      <c r="F28" s="2" t="n">
        <v>10</v>
      </c>
    </row>
    <row r="29">
      <c r="A29" s="2" t="n">
        <v>0</v>
      </c>
      <c r="B29" s="2" t="n">
        <v>1.810307779074271</v>
      </c>
      <c r="C29" s="2" t="n">
        <v>3.202160699991509</v>
      </c>
      <c r="D29" s="2" t="n">
        <v>0.1241297160637904</v>
      </c>
      <c r="E29" s="2" t="n">
        <v>-0.05674501305773265</v>
      </c>
      <c r="F29" s="2" t="n">
        <v>10</v>
      </c>
    </row>
    <row r="30">
      <c r="A30" s="2" t="n">
        <v>0</v>
      </c>
      <c r="B30" s="2" t="n">
        <v>0.9307600766794296</v>
      </c>
      <c r="C30" s="2" t="n">
        <v>3.307790199993178</v>
      </c>
      <c r="D30" s="2" t="n">
        <v>-0.8795477023948411</v>
      </c>
      <c r="E30" s="2" t="n">
        <v>-0.03064230705117588</v>
      </c>
      <c r="F30" s="2" t="n">
        <v>10</v>
      </c>
    </row>
    <row r="31">
      <c r="A31" s="2" t="n">
        <v>0</v>
      </c>
      <c r="B31" s="2" t="n">
        <v>0.9307600766794296</v>
      </c>
      <c r="C31" s="2" t="n">
        <v>3.415635699988343</v>
      </c>
      <c r="D31" s="2" t="n">
        <v>0</v>
      </c>
      <c r="E31" s="2" t="n">
        <v>-0.2293917152858805</v>
      </c>
      <c r="F31" s="2" t="n">
        <v>10</v>
      </c>
    </row>
    <row r="32">
      <c r="A32" s="2" t="n">
        <v>0</v>
      </c>
      <c r="B32" s="2" t="n">
        <v>1.100995115852616</v>
      </c>
      <c r="C32" s="2" t="n">
        <v>3.565784499980509</v>
      </c>
      <c r="D32" s="2" t="n">
        <v>0.1702350391731865</v>
      </c>
      <c r="E32" s="2" t="n">
        <v>-0.04823326109907185</v>
      </c>
      <c r="F32" s="2" t="n">
        <v>10</v>
      </c>
    </row>
    <row r="33">
      <c r="A33" s="2" t="n">
        <v>0</v>
      </c>
      <c r="B33" s="2" t="n">
        <v>0.539219486581078</v>
      </c>
      <c r="C33" s="2" t="n">
        <v>3.665174499968998</v>
      </c>
      <c r="D33" s="2" t="n">
        <v>-0.5617756292715381</v>
      </c>
      <c r="E33" s="2" t="n">
        <v>-0.06241951436350361</v>
      </c>
      <c r="F33" s="2" t="n">
        <v>10</v>
      </c>
    </row>
    <row r="34">
      <c r="A34" s="2" t="n">
        <v>0</v>
      </c>
      <c r="B34" s="2" t="n">
        <v>1.569141473578912</v>
      </c>
      <c r="C34" s="2" t="n">
        <v>3.803426199941896</v>
      </c>
      <c r="D34" s="2" t="n">
        <v>1.029921986997834</v>
      </c>
      <c r="E34" s="2" t="n">
        <v>0.0468146357726263</v>
      </c>
      <c r="F34" s="2" t="n">
        <v>10</v>
      </c>
    </row>
    <row r="35">
      <c r="A35" s="2" t="n">
        <v>0</v>
      </c>
      <c r="B35" s="2" t="n">
        <v>0.6186625048619115</v>
      </c>
      <c r="C35" s="2" t="n">
        <v>3.912154999910854</v>
      </c>
      <c r="D35" s="2" t="n">
        <v>-0.950478968717</v>
      </c>
      <c r="E35" s="2" t="n">
        <v>0.08228026893371063</v>
      </c>
      <c r="F35" s="2" t="n">
        <v>10</v>
      </c>
    </row>
    <row r="36">
      <c r="A36" s="2" t="n">
        <v>0</v>
      </c>
      <c r="B36" s="2" t="n">
        <v>1.164833255542561</v>
      </c>
      <c r="C36" s="2" t="n">
        <v>4.054775199969299</v>
      </c>
      <c r="D36" s="2" t="n">
        <v>0.5461707506806496</v>
      </c>
      <c r="E36" s="2" t="n">
        <v>0.07547086736678391</v>
      </c>
      <c r="F36" s="2" t="n">
        <v>10</v>
      </c>
    </row>
    <row r="37">
      <c r="A37" s="2" t="n">
        <v>0</v>
      </c>
      <c r="B37" s="2" t="n">
        <v>1.512396460521169</v>
      </c>
      <c r="C37" s="2" t="n">
        <v>4.17621569999028</v>
      </c>
      <c r="D37" s="2" t="n">
        <v>0.3475632049786082</v>
      </c>
      <c r="E37" s="2" t="n">
        <v>0.1872585430905176</v>
      </c>
      <c r="F37" s="2" t="n">
        <v>10</v>
      </c>
    </row>
    <row r="38">
      <c r="A38" s="2" t="n">
        <v>0</v>
      </c>
      <c r="B38" s="2" t="n">
        <v>0.9165738234149975</v>
      </c>
      <c r="C38" s="2" t="n">
        <v>4.282435399945825</v>
      </c>
      <c r="D38" s="2" t="n">
        <v>-0.5958226371061718</v>
      </c>
      <c r="E38" s="2" t="n">
        <v>0.1986075457020604</v>
      </c>
      <c r="F38" s="2" t="n">
        <v>10</v>
      </c>
    </row>
    <row r="39">
      <c r="A39" s="2" t="n">
        <v>0</v>
      </c>
      <c r="B39" s="2" t="n">
        <v>2.5054341890315</v>
      </c>
      <c r="C39" s="2" t="n">
        <v>4.392551500000991</v>
      </c>
      <c r="D39" s="2" t="n">
        <v>1.588860365616502</v>
      </c>
      <c r="E39" s="2" t="n">
        <v>0.0595822637106181</v>
      </c>
      <c r="F39" s="2" t="n">
        <v>10</v>
      </c>
    </row>
    <row r="40">
      <c r="A40" s="2" t="n">
        <v>0</v>
      </c>
      <c r="B40" s="2" t="n">
        <v>1.611700233372214</v>
      </c>
      <c r="C40" s="2" t="n">
        <v>4.501243299921043</v>
      </c>
      <c r="D40" s="2" t="n">
        <v>-0.8937339556592858</v>
      </c>
      <c r="E40" s="2" t="n">
        <v>-0.1986075457020567</v>
      </c>
      <c r="F40" s="2" t="n">
        <v>10</v>
      </c>
    </row>
    <row r="41">
      <c r="A41" s="2" t="n">
        <v>0</v>
      </c>
      <c r="B41" s="2" t="n">
        <v>1.462744574095652</v>
      </c>
      <c r="C41" s="2" t="n">
        <v>4.618802099954337</v>
      </c>
      <c r="D41" s="2" t="n">
        <v>-0.148955659276562</v>
      </c>
      <c r="E41" s="2" t="n">
        <v>0.03688425848752534</v>
      </c>
      <c r="F41" s="2" t="n">
        <v>10</v>
      </c>
    </row>
    <row r="42">
      <c r="A42" s="2" t="n">
        <v>0</v>
      </c>
      <c r="B42" s="2" t="n">
        <v>0.5193587320108861</v>
      </c>
      <c r="C42" s="2" t="n">
        <v>4.735707599902526</v>
      </c>
      <c r="D42" s="2" t="n">
        <v>-0.9433858420847656</v>
      </c>
      <c r="E42" s="2" t="n">
        <v>-0.3234465744290717</v>
      </c>
      <c r="F42" s="2" t="n">
        <v>10</v>
      </c>
    </row>
    <row r="43">
      <c r="A43" s="2" t="n">
        <v>0</v>
      </c>
      <c r="B43" s="2" t="n">
        <v>1.100995115852624</v>
      </c>
      <c r="C43" s="2" t="n">
        <v>4.842703599948436</v>
      </c>
      <c r="D43" s="2" t="n">
        <v>0.5816363838417382</v>
      </c>
      <c r="E43" s="2" t="n">
        <v>-0.09930377285103117</v>
      </c>
      <c r="F43" s="2" t="n">
        <v>10</v>
      </c>
    </row>
    <row r="44">
      <c r="A44" s="2" t="n">
        <v>0</v>
      </c>
      <c r="B44" s="2" t="n">
        <v>0.8882013168861411</v>
      </c>
      <c r="C44" s="2" t="n">
        <v>4.952601499971934</v>
      </c>
      <c r="D44" s="2" t="n">
        <v>-0.2127937989664832</v>
      </c>
      <c r="E44" s="2" t="n">
        <v>0.2851436906151041</v>
      </c>
      <c r="F44" s="2" t="n">
        <v>10</v>
      </c>
    </row>
    <row r="45">
      <c r="A45" s="2" t="n">
        <v>0</v>
      </c>
      <c r="B45" s="2" t="n">
        <v>1.115181369117058</v>
      </c>
      <c r="C45" s="2" t="n">
        <v>5.066269399947487</v>
      </c>
      <c r="D45" s="2" t="n">
        <v>0.2269800522309167</v>
      </c>
      <c r="E45" s="2" t="n">
        <v>0.2052277972254609</v>
      </c>
      <c r="F45" s="2" t="n">
        <v>10</v>
      </c>
    </row>
    <row r="46">
      <c r="A46" s="2" t="n">
        <v>0</v>
      </c>
      <c r="B46" s="2" t="n">
        <v>2.888463027171172</v>
      </c>
      <c r="C46" s="2" t="n">
        <v>5.169906699913554</v>
      </c>
      <c r="D46" s="2" t="n">
        <v>1.773281658054114</v>
      </c>
      <c r="E46" s="2" t="n">
        <v>0.09469324054009047</v>
      </c>
      <c r="F46" s="2" t="n">
        <v>10</v>
      </c>
    </row>
    <row r="47">
      <c r="A47" s="2" t="n">
        <v>0</v>
      </c>
      <c r="B47" s="2" t="n">
        <v>1.54549771813819</v>
      </c>
      <c r="C47" s="2" t="n">
        <v>5.30788399989251</v>
      </c>
      <c r="D47" s="2" t="n">
        <v>-1.342965309032982</v>
      </c>
      <c r="E47" s="2" t="n">
        <v>0.144699783297214</v>
      </c>
      <c r="F47" s="2" t="n">
        <v>10</v>
      </c>
    </row>
    <row r="48">
      <c r="A48" s="2" t="n">
        <v>0</v>
      </c>
      <c r="B48" s="2" t="n">
        <v>1.574461318553077</v>
      </c>
      <c r="C48" s="2" t="n">
        <v>5.416172800003551</v>
      </c>
      <c r="D48" s="2" t="n">
        <v>0.02896360041488633</v>
      </c>
      <c r="E48" s="2" t="n">
        <v>0.1141993387786859</v>
      </c>
      <c r="F48" s="2" t="n">
        <v>10</v>
      </c>
    </row>
    <row r="49">
      <c r="A49" s="2" t="n">
        <v>0</v>
      </c>
      <c r="B49" s="2" t="n">
        <v>1.611700233372211</v>
      </c>
      <c r="C49" s="2" t="n">
        <v>5.537844299920835</v>
      </c>
      <c r="D49" s="2" t="n">
        <v>0.03723891481913455</v>
      </c>
      <c r="E49" s="2" t="n">
        <v>-0.3864335389231506</v>
      </c>
      <c r="F49" s="2" t="n">
        <v>10</v>
      </c>
    </row>
    <row r="50">
      <c r="A50" s="2" t="n">
        <v>0</v>
      </c>
      <c r="B50" s="2" t="n">
        <v>1.686178063010487</v>
      </c>
      <c r="C50" s="2" t="n">
        <v>5.634833799907938</v>
      </c>
      <c r="D50" s="2" t="n">
        <v>0.07447782963827621</v>
      </c>
      <c r="E50" s="2" t="n">
        <v>-0.1059240243744335</v>
      </c>
      <c r="F50" s="2" t="n">
        <v>10</v>
      </c>
    </row>
    <row r="51">
      <c r="A51" s="2" t="n">
        <v>0</v>
      </c>
      <c r="B51" s="2" t="n">
        <v>0.956295332555419</v>
      </c>
      <c r="C51" s="2" t="n">
        <v>5.74284429999534</v>
      </c>
      <c r="D51" s="2" t="n">
        <v>-0.7298827304550685</v>
      </c>
      <c r="E51" s="2" t="n">
        <v>-0.1564034422403722</v>
      </c>
      <c r="F51" s="2" t="n">
        <v>10</v>
      </c>
    </row>
    <row r="52">
      <c r="A52" s="2" t="n">
        <v>0</v>
      </c>
      <c r="B52" s="2" t="n">
        <v>1.015877596266023</v>
      </c>
      <c r="C52" s="2" t="n">
        <v>5.878012600005604</v>
      </c>
      <c r="D52" s="2" t="n">
        <v>0.05958226371060393</v>
      </c>
      <c r="E52" s="2" t="n">
        <v>0.08937339556592719</v>
      </c>
      <c r="F52" s="2" t="n">
        <v>10</v>
      </c>
    </row>
    <row r="53">
      <c r="A53" s="2" t="n">
        <v>0</v>
      </c>
      <c r="B53" s="2" t="n">
        <v>0.7924441073512156</v>
      </c>
      <c r="C53" s="2" t="n">
        <v>5.990794999990612</v>
      </c>
      <c r="D53" s="2" t="n">
        <v>-0.2234334889148073</v>
      </c>
      <c r="E53" s="2" t="n">
        <v>-0.02979113185531048</v>
      </c>
      <c r="F53" s="2" t="n">
        <v>10</v>
      </c>
    </row>
    <row r="54">
      <c r="A54" s="2" t="n">
        <v>0</v>
      </c>
      <c r="B54" s="2" t="n">
        <v>2.058567211201847</v>
      </c>
      <c r="C54" s="2" t="n">
        <v>6.117990399943665</v>
      </c>
      <c r="D54" s="2" t="n">
        <v>1.266123103850632</v>
      </c>
      <c r="E54" s="2" t="n">
        <v>-2.264854970235319e-15</v>
      </c>
      <c r="F54" s="2" t="n">
        <v>10</v>
      </c>
    </row>
    <row r="55">
      <c r="A55" s="2" t="n">
        <v>0</v>
      </c>
      <c r="B55" s="2" t="n">
        <v>1.537222403733935</v>
      </c>
      <c r="C55" s="2" t="n">
        <v>6.224019499961287</v>
      </c>
      <c r="D55" s="2" t="n">
        <v>-0.5213448074679121</v>
      </c>
      <c r="E55" s="2" t="n">
        <v>0.04965188642551843</v>
      </c>
      <c r="F55" s="2" t="n">
        <v>10</v>
      </c>
    </row>
    <row r="56">
      <c r="A56" s="2" t="n">
        <v>0</v>
      </c>
      <c r="B56" s="2" t="n">
        <v>0.9562953325554077</v>
      </c>
      <c r="C56" s="2" t="n">
        <v>6.333787799929269</v>
      </c>
      <c r="D56" s="2" t="n">
        <v>-0.5809270711785274</v>
      </c>
      <c r="E56" s="2" t="n">
        <v>0</v>
      </c>
      <c r="F56" s="2" t="n">
        <v>10</v>
      </c>
    </row>
    <row r="57">
      <c r="A57" s="2" t="n">
        <v>0</v>
      </c>
      <c r="B57" s="2" t="n">
        <v>1.264137028393615</v>
      </c>
      <c r="C57" s="2" t="n">
        <v>6.490560099948198</v>
      </c>
      <c r="D57" s="2" t="n">
        <v>0.3078416958382074</v>
      </c>
      <c r="E57" s="2" t="n">
        <v>0.02979113185530764</v>
      </c>
      <c r="F57" s="2" t="n">
        <v>10</v>
      </c>
    </row>
    <row r="58">
      <c r="A58" s="2" t="n">
        <v>0</v>
      </c>
      <c r="B58" s="2" t="n">
        <v>0.7924441073512156</v>
      </c>
      <c r="C58" s="2" t="n">
        <v>6.599321599933319</v>
      </c>
      <c r="D58" s="2" t="n">
        <v>-0.4716929210423995</v>
      </c>
      <c r="E58" s="2" t="n">
        <v>0.03475632049786208</v>
      </c>
      <c r="F58" s="2" t="n">
        <v>10</v>
      </c>
    </row>
    <row r="59">
      <c r="A59" s="2" t="n">
        <v>0</v>
      </c>
      <c r="B59" s="2" t="n">
        <v>2.207522870478385</v>
      </c>
      <c r="C59" s="2" t="n">
        <v>6.723861199920066</v>
      </c>
      <c r="D59" s="2" t="n">
        <v>1.41507876312717</v>
      </c>
      <c r="E59" s="2" t="n">
        <v>0.08341516919486594</v>
      </c>
      <c r="F59" s="2" t="n">
        <v>10</v>
      </c>
    </row>
    <row r="60">
      <c r="A60" s="2" t="n">
        <v>0</v>
      </c>
      <c r="B60" s="2" t="n">
        <v>1.711004006223245</v>
      </c>
      <c r="C60" s="2" t="n">
        <v>6.833721999893896</v>
      </c>
      <c r="D60" s="2" t="n">
        <v>-0.4965188642551399</v>
      </c>
      <c r="E60" s="2" t="n">
        <v>0.02979113185530573</v>
      </c>
      <c r="F60" s="2" t="n">
        <v>10</v>
      </c>
    </row>
    <row r="61">
      <c r="A61" s="2" t="n">
        <v>0</v>
      </c>
      <c r="B61" s="2" t="n">
        <v>1.373371178529737</v>
      </c>
      <c r="C61" s="2" t="n">
        <v>6.941569199902005</v>
      </c>
      <c r="D61" s="2" t="n">
        <v>-0.3376328276935081</v>
      </c>
      <c r="E61" s="2" t="n">
        <v>0.04468669778296337</v>
      </c>
      <c r="F61" s="2" t="n">
        <v>10</v>
      </c>
    </row>
    <row r="62">
      <c r="A62" s="2" t="n">
        <v>0</v>
      </c>
      <c r="B62" s="2" t="n">
        <v>1.413092687670144</v>
      </c>
      <c r="C62" s="2" t="n">
        <v>7.08215889998246</v>
      </c>
      <c r="D62" s="2" t="n">
        <v>0.0397215091404064</v>
      </c>
      <c r="E62" s="2" t="n">
        <v>-0.1712990081680246</v>
      </c>
      <c r="F62" s="2" t="n">
        <v>10</v>
      </c>
    </row>
    <row r="63">
      <c r="A63" s="2" t="n">
        <v>0</v>
      </c>
      <c r="B63" s="2" t="n">
        <v>1.015877596266032</v>
      </c>
      <c r="C63" s="2" t="n">
        <v>7.191490900004283</v>
      </c>
      <c r="D63" s="2" t="n">
        <v>-0.3972150914041113</v>
      </c>
      <c r="E63" s="2" t="n">
        <v>-0.1489556592765471</v>
      </c>
      <c r="F63" s="2" t="n">
        <v>10</v>
      </c>
    </row>
    <row r="64">
      <c r="A64" s="2" t="n">
        <v>0</v>
      </c>
      <c r="B64" s="2" t="n">
        <v>1.351027829638262</v>
      </c>
      <c r="C64" s="2" t="n">
        <v>7.297870499896817</v>
      </c>
      <c r="D64" s="2" t="n">
        <v>0.3351502333722298</v>
      </c>
      <c r="E64" s="2" t="n">
        <v>-0.03574935822637144</v>
      </c>
      <c r="F64" s="2" t="n">
        <v>10</v>
      </c>
    </row>
    <row r="65">
      <c r="A65" s="2" t="n">
        <v>0</v>
      </c>
      <c r="B65" s="2" t="n">
        <v>0.9662257098405101</v>
      </c>
      <c r="C65" s="2" t="n">
        <v>7.421034500002861</v>
      </c>
      <c r="D65" s="2" t="n">
        <v>-0.3848021197977521</v>
      </c>
      <c r="E65" s="2" t="n">
        <v>3.912568650330615</v>
      </c>
      <c r="F65" s="2" t="n">
        <v>10</v>
      </c>
    </row>
    <row r="66">
      <c r="A66" s="2" t="n">
        <v>0.0276626413040161</v>
      </c>
      <c r="B66" s="2" t="n">
        <v>1.19462438739788</v>
      </c>
      <c r="C66" s="2" t="n">
        <v>7.528337299940176</v>
      </c>
      <c r="D66" s="2" t="n">
        <v>0.22839867755737</v>
      </c>
      <c r="E66" s="2" t="n">
        <v>-0.2031755192532065</v>
      </c>
      <c r="F66" s="2" t="n">
        <v>10</v>
      </c>
    </row>
    <row r="67">
      <c r="A67" s="2" t="n">
        <v>0.08977150208282469</v>
      </c>
      <c r="B67" s="2" t="n">
        <v>20.97593593932322</v>
      </c>
      <c r="C67" s="2" t="n">
        <v>7.652514799963683</v>
      </c>
      <c r="D67" s="2" t="n">
        <v>19.78131155192534</v>
      </c>
      <c r="E67" s="2" t="n">
        <v>0.2308812718786399</v>
      </c>
      <c r="F67" s="2" t="n">
        <v>10</v>
      </c>
    </row>
    <row r="68">
      <c r="A68" s="2" t="n">
        <v>0.1773691940383911</v>
      </c>
      <c r="B68" s="2" t="n">
        <v>0</v>
      </c>
      <c r="C68" s="2" t="n">
        <v>7.760537699912675</v>
      </c>
      <c r="D68" s="2" t="n">
        <v>-20.97593593932322</v>
      </c>
      <c r="E68" s="2" t="n">
        <v>0.3525283936211575</v>
      </c>
      <c r="F68" s="2" t="n">
        <v>10</v>
      </c>
    </row>
    <row r="69">
      <c r="A69" s="2" t="n">
        <v>0.269443563621521</v>
      </c>
      <c r="B69" s="2" t="n">
        <v>2.505434189031462</v>
      </c>
      <c r="C69" s="2" t="n">
        <v>7.869800099986605</v>
      </c>
      <c r="D69" s="2" t="n">
        <v>2.505434189031462</v>
      </c>
      <c r="E69" s="2" t="n">
        <v>0.1429974329054841</v>
      </c>
      <c r="F69" s="2" t="n">
        <v>10</v>
      </c>
    </row>
    <row r="70">
      <c r="A70" s="2" t="n">
        <v>0.3964440847854614</v>
      </c>
      <c r="B70" s="2" t="n">
        <v>2.728867677946297</v>
      </c>
      <c r="C70" s="2" t="n">
        <v>7.985943499952555</v>
      </c>
      <c r="D70" s="2" t="n">
        <v>0.2234334889148357</v>
      </c>
      <c r="E70" s="2" t="n">
        <v>-3.896680046674449</v>
      </c>
      <c r="F70" s="2" t="n">
        <v>10</v>
      </c>
    </row>
    <row r="71">
      <c r="A71" s="2" t="n">
        <v>0.512878033531189</v>
      </c>
      <c r="B71" s="2" t="n">
        <v>1.909611551925301</v>
      </c>
      <c r="C71" s="2" t="n">
        <v>8.118938199942932</v>
      </c>
      <c r="D71" s="2" t="n">
        <v>-0.8192561260209967</v>
      </c>
      <c r="E71" s="2" t="n">
        <v>1.263739813302211</v>
      </c>
      <c r="F71" s="2" t="n">
        <v>10</v>
      </c>
    </row>
    <row r="72">
      <c r="A72" s="2" t="n">
        <v>0.6322561035995484</v>
      </c>
      <c r="B72" s="2" t="n">
        <v>1.492535705950979</v>
      </c>
      <c r="C72" s="2" t="n">
        <v>8.211705199908465</v>
      </c>
      <c r="D72" s="2" t="n">
        <v>-0.4170758459743216</v>
      </c>
      <c r="E72" s="2" t="n">
        <v>-0.1668303383897251</v>
      </c>
      <c r="F72" s="2" t="n">
        <v>10</v>
      </c>
    </row>
    <row r="73">
      <c r="A73" s="2" t="n">
        <v>0.7490530262069703</v>
      </c>
      <c r="B73" s="2" t="n">
        <v>6.318699066511056</v>
      </c>
      <c r="C73" s="2" t="n">
        <v>8.350033700000495</v>
      </c>
      <c r="D73" s="2" t="n">
        <v>4.826163360560077</v>
      </c>
      <c r="E73" s="2" t="n">
        <v>-0.2035727343446117</v>
      </c>
      <c r="F73" s="2" t="n">
        <v>10</v>
      </c>
    </row>
    <row r="74">
      <c r="A74" s="2" t="n">
        <v>0.8596390627365114</v>
      </c>
      <c r="B74" s="2" t="n">
        <v>1.671282497082836</v>
      </c>
      <c r="C74" s="2" t="n">
        <v>8.457646499969997</v>
      </c>
      <c r="D74" s="2" t="n">
        <v>-4.64741656942822</v>
      </c>
      <c r="E74" s="2" t="n">
        <v>-0.07944301828082442</v>
      </c>
      <c r="F74" s="2" t="n">
        <v>10</v>
      </c>
    </row>
    <row r="75">
      <c r="A75" s="2" t="n">
        <v>0.9720802990036012</v>
      </c>
      <c r="B75" s="2" t="n">
        <v>1.711004006223239</v>
      </c>
      <c r="C75" s="2" t="n">
        <v>8.57297929993365</v>
      </c>
      <c r="D75" s="2" t="n">
        <v>0.03972150914040262</v>
      </c>
      <c r="E75" s="2" t="n">
        <v>-0.09533162193699125</v>
      </c>
      <c r="F75" s="2" t="n">
        <v>10</v>
      </c>
    </row>
    <row r="76">
      <c r="A76" s="2" t="n">
        <v>1.104001132514954</v>
      </c>
      <c r="B76" s="2" t="n">
        <v>1.512396460521179</v>
      </c>
      <c r="C76" s="2" t="n">
        <v>8.690375599893741</v>
      </c>
      <c r="D76" s="2" t="n">
        <v>-0.1986075457020604</v>
      </c>
      <c r="E76" s="2" t="n">
        <v>-0.917566861143521</v>
      </c>
      <c r="F76" s="2" t="n">
        <v>10</v>
      </c>
    </row>
    <row r="77">
      <c r="A77" s="2" t="n">
        <v>1.205835465934754</v>
      </c>
      <c r="B77" s="2" t="n">
        <v>1.015877596266023</v>
      </c>
      <c r="C77" s="2" t="n">
        <v>8.799666499951854</v>
      </c>
      <c r="D77" s="2" t="n">
        <v>-0.4965188642551557</v>
      </c>
      <c r="E77" s="2" t="n">
        <v>-0.1211506028782583</v>
      </c>
      <c r="F77" s="2" t="n">
        <v>10</v>
      </c>
    </row>
    <row r="78">
      <c r="A78" s="2" t="n">
        <v>1.31154152054596</v>
      </c>
      <c r="B78" s="2" t="n">
        <v>1.730864760793452</v>
      </c>
      <c r="C78" s="2" t="n">
        <v>8.933184299967252</v>
      </c>
      <c r="D78" s="2" t="n">
        <v>0.7149871645274288</v>
      </c>
      <c r="E78" s="2" t="n">
        <v>-0.01986075457020507</v>
      </c>
      <c r="F78" s="2" t="n">
        <v>10</v>
      </c>
    </row>
    <row r="79">
      <c r="A79" s="2" t="n">
        <v>1.43458965966034</v>
      </c>
      <c r="B79" s="2" t="n">
        <v>1.065529482691545</v>
      </c>
      <c r="C79" s="2" t="n">
        <v>9.03711709997151</v>
      </c>
      <c r="D79" s="2" t="n">
        <v>-0.6653352781019066</v>
      </c>
      <c r="E79" s="2" t="n">
        <v>0.3892707895760414</v>
      </c>
      <c r="F79" s="2" t="n">
        <v>10</v>
      </c>
    </row>
    <row r="80">
      <c r="A80" s="2" t="n">
        <v>1.521663056037903</v>
      </c>
      <c r="B80" s="2" t="n">
        <v>1.611700233372214</v>
      </c>
      <c r="C80" s="2" t="n">
        <v>9.143949599936604</v>
      </c>
      <c r="D80" s="2" t="n">
        <v>0.5461707506806686</v>
      </c>
      <c r="E80" s="2" t="n">
        <v>0.1191645274212381</v>
      </c>
      <c r="F80" s="2" t="n">
        <v>10</v>
      </c>
    </row>
    <row r="81">
      <c r="A81" s="2" t="n">
        <v>1.658826845329285</v>
      </c>
      <c r="B81" s="2" t="n">
        <v>3.458750408401386</v>
      </c>
      <c r="C81" s="2" t="n">
        <v>9.283717799931765</v>
      </c>
      <c r="D81" s="2" t="n">
        <v>1.847050175029172</v>
      </c>
      <c r="E81" s="2" t="n">
        <v>0.3098277712952142</v>
      </c>
      <c r="F81" s="2" t="n">
        <v>10</v>
      </c>
    </row>
    <row r="82">
      <c r="A82" s="2" t="n">
        <v>1.772276342323303</v>
      </c>
      <c r="B82" s="2" t="n">
        <v>1.611700233372214</v>
      </c>
      <c r="C82" s="2" t="n">
        <v>9.391961299930699</v>
      </c>
      <c r="D82" s="2" t="n">
        <v>-1.847050175029172</v>
      </c>
      <c r="E82" s="2" t="n">
        <v>2.790436017113964</v>
      </c>
      <c r="F82" s="2" t="n">
        <v>10</v>
      </c>
    </row>
    <row r="83">
      <c r="A83" s="2" t="n">
        <v>1.882620396278381</v>
      </c>
      <c r="B83" s="2" t="n">
        <v>3.280003617269523</v>
      </c>
      <c r="C83" s="2" t="n">
        <v>9.521768999984488</v>
      </c>
      <c r="D83" s="2" t="n">
        <v>1.668303383897309</v>
      </c>
      <c r="E83" s="2" t="n">
        <v>3.509395332555425</v>
      </c>
      <c r="F83" s="2" t="n">
        <v>10</v>
      </c>
    </row>
    <row r="84">
      <c r="A84" s="2" t="n">
        <v>1.97711459160614</v>
      </c>
      <c r="B84" s="2" t="n">
        <v>15.01770956826136</v>
      </c>
      <c r="C84" s="2" t="n">
        <v>9.64532429992687</v>
      </c>
      <c r="D84" s="2" t="n">
        <v>11.73770595099184</v>
      </c>
      <c r="E84" s="2" t="n">
        <v>6.446800933488916</v>
      </c>
      <c r="F84" s="2" t="n">
        <v>10</v>
      </c>
    </row>
    <row r="85">
      <c r="A85" s="2" t="n">
        <v>2.051564563682557</v>
      </c>
      <c r="B85" s="2" t="n">
        <v>19.15867689614934</v>
      </c>
      <c r="C85" s="2" t="n">
        <v>9.748130599968135</v>
      </c>
      <c r="D85" s="2" t="n">
        <v>4.140967327887978</v>
      </c>
      <c r="E85" s="2" t="n">
        <v>15.15772788798133</v>
      </c>
      <c r="F85" s="2" t="n">
        <v>10</v>
      </c>
    </row>
    <row r="86">
      <c r="A86" s="2" t="n">
        <v>2.151140393074036</v>
      </c>
      <c r="B86" s="2" t="n">
        <v>35.69275507584597</v>
      </c>
      <c r="C86" s="2" t="n">
        <v>9.886336399940774</v>
      </c>
      <c r="D86" s="2" t="n">
        <v>16.53407817969662</v>
      </c>
      <c r="E86" s="2" t="n">
        <v>33.31244364060676</v>
      </c>
      <c r="F86" s="2" t="n">
        <v>10</v>
      </c>
    </row>
    <row r="87">
      <c r="A87" s="2" t="n">
        <v>2.248256066291809</v>
      </c>
      <c r="B87" s="2" t="n">
        <v>77.40033967327888</v>
      </c>
      <c r="C87" s="2" t="n">
        <v>9.993534299894236</v>
      </c>
      <c r="D87" s="2" t="n">
        <v>41.70758459743291</v>
      </c>
      <c r="E87" s="2" t="n">
        <v>56.88318716452742</v>
      </c>
      <c r="F87" s="2" t="n">
        <v>10</v>
      </c>
    </row>
    <row r="88">
      <c r="A88" s="2" t="n">
        <v>2.322907690513611</v>
      </c>
      <c r="B88" s="2" t="n">
        <v>169.8422218203033</v>
      </c>
      <c r="C88" s="2" t="n">
        <v>10.14502409996931</v>
      </c>
      <c r="D88" s="2" t="n">
        <v>92.44188214702446</v>
      </c>
      <c r="E88" s="2" t="n">
        <v>76.4202114352392</v>
      </c>
      <c r="F88" s="2" t="n">
        <v>10</v>
      </c>
    </row>
    <row r="89">
      <c r="A89" s="2" t="n">
        <v>2.397518984306336</v>
      </c>
      <c r="B89" s="2" t="n">
        <v>299.4336453908984</v>
      </c>
      <c r="C89" s="2" t="n">
        <v>10.24074309994467</v>
      </c>
      <c r="D89" s="2" t="n">
        <v>129.5914235705951</v>
      </c>
      <c r="E89" s="2" t="n">
        <v>100.9502294049008</v>
      </c>
      <c r="F89" s="2" t="n">
        <v>10</v>
      </c>
    </row>
    <row r="90">
      <c r="A90" s="2" t="n">
        <v>2.444786247184754</v>
      </c>
      <c r="B90" s="2" t="n">
        <v>401.2597340723453</v>
      </c>
      <c r="C90" s="2" t="n">
        <v>10.34771229990292</v>
      </c>
      <c r="D90" s="2" t="n">
        <v>101.8260886814469</v>
      </c>
      <c r="E90" s="2" t="n">
        <v>118.1814200700117</v>
      </c>
      <c r="F90" s="2" t="n">
        <v>10</v>
      </c>
    </row>
    <row r="91">
      <c r="A91" s="2" t="n">
        <v>2.505967508094788</v>
      </c>
      <c r="B91" s="2" t="n">
        <v>540.44390210035</v>
      </c>
      <c r="C91" s="2" t="n">
        <v>10.48698089993559</v>
      </c>
      <c r="D91" s="2" t="n">
        <v>139.1841680280046</v>
      </c>
      <c r="E91" s="2" t="n">
        <v>124.8844247374562</v>
      </c>
      <c r="F91" s="2" t="n">
        <v>10</v>
      </c>
    </row>
    <row r="92">
      <c r="A92" s="2" t="n">
        <v>2.590863061302185</v>
      </c>
      <c r="B92" s="2" t="n">
        <v>668.3074400233371</v>
      </c>
      <c r="C92" s="2" t="n">
        <v>10.59522949997336</v>
      </c>
      <c r="D92" s="2" t="n">
        <v>127.8635379229871</v>
      </c>
      <c r="E92" s="2" t="n">
        <v>131.3848497082847</v>
      </c>
      <c r="F92" s="2" t="n">
        <v>10</v>
      </c>
    </row>
    <row r="93">
      <c r="A93" s="2" t="n">
        <v>2.660836355751038</v>
      </c>
      <c r="B93" s="2" t="n">
        <v>794.2643455075845</v>
      </c>
      <c r="C93" s="2" t="n">
        <v>10.73397919989657</v>
      </c>
      <c r="D93" s="2" t="n">
        <v>125.9569054842474</v>
      </c>
      <c r="E93" s="2" t="n">
        <v>136.1454725787632</v>
      </c>
      <c r="F93" s="2" t="n">
        <v>10</v>
      </c>
    </row>
    <row r="94">
      <c r="A94" s="2" t="n">
        <v>2.758435994117737</v>
      </c>
      <c r="B94" s="2" t="n">
        <v>956.3578939323219</v>
      </c>
      <c r="C94" s="2" t="n">
        <v>10.85685949993785</v>
      </c>
      <c r="D94" s="2" t="n">
        <v>162.0935484247374</v>
      </c>
      <c r="E94" s="2" t="n">
        <v>134.0958427071178</v>
      </c>
      <c r="F94" s="2" t="n">
        <v>10</v>
      </c>
    </row>
    <row r="95">
      <c r="A95" s="2" t="n">
        <v>2.832200348899841</v>
      </c>
      <c r="B95" s="2" t="n">
        <v>1081.987096966161</v>
      </c>
      <c r="C95" s="2" t="n">
        <v>10.96489429997746</v>
      </c>
      <c r="D95" s="2" t="n">
        <v>125.6292030338392</v>
      </c>
      <c r="E95" s="2" t="n">
        <v>130.062123453909</v>
      </c>
      <c r="F95" s="2" t="n">
        <v>10</v>
      </c>
    </row>
    <row r="96">
      <c r="A96" s="2" t="n">
        <v>2.931493865287781</v>
      </c>
      <c r="B96" s="2" t="n">
        <v>1210.923115635939</v>
      </c>
      <c r="C96" s="2" t="n">
        <v>11.11588679999113</v>
      </c>
      <c r="D96" s="2" t="n">
        <v>128.9360186697782</v>
      </c>
      <c r="E96" s="2" t="n">
        <v>120.4395878646441</v>
      </c>
      <c r="F96" s="2" t="n">
        <v>10</v>
      </c>
    </row>
    <row r="97">
      <c r="A97" s="2" t="n">
        <v>3.019656183250427</v>
      </c>
      <c r="B97" s="2" t="n">
        <v>1318.618057292882</v>
      </c>
      <c r="C97" s="2" t="n">
        <v>11.2304588999832</v>
      </c>
      <c r="D97" s="2" t="n">
        <v>107.6949416569428</v>
      </c>
      <c r="E97" s="2" t="n">
        <v>105.9908889148192</v>
      </c>
      <c r="F97" s="2" t="n">
        <v>10</v>
      </c>
    </row>
    <row r="98">
      <c r="A98" s="2" t="n">
        <v>3.111004605110169</v>
      </c>
      <c r="B98" s="2" t="n">
        <v>1396.462284830805</v>
      </c>
      <c r="C98" s="2" t="n">
        <v>11.35824380000122</v>
      </c>
      <c r="D98" s="2" t="n">
        <v>77.84422753792296</v>
      </c>
      <c r="E98" s="2" t="n">
        <v>93.85398179696612</v>
      </c>
      <c r="F98" s="2" t="n">
        <v>10</v>
      </c>
    </row>
    <row r="99">
      <c r="A99" s="2" t="n">
        <v>3.237198517692566</v>
      </c>
      <c r="B99" s="2" t="n">
        <v>1486.312338506418</v>
      </c>
      <c r="C99" s="2" t="n">
        <v>11.50684689998161</v>
      </c>
      <c r="D99" s="2" t="n">
        <v>89.8500536756128</v>
      </c>
      <c r="E99" s="2" t="n">
        <v>80.40626487747959</v>
      </c>
      <c r="F99" s="2" t="n">
        <v>10</v>
      </c>
    </row>
    <row r="100">
      <c r="A100" s="2" t="n">
        <v>3.326409426811218</v>
      </c>
      <c r="B100" s="2" t="n">
        <v>1551.257005950992</v>
      </c>
      <c r="C100" s="2" t="n">
        <v>11.60664719995111</v>
      </c>
      <c r="D100" s="2" t="n">
        <v>64.94466744457395</v>
      </c>
      <c r="E100" s="2" t="n">
        <v>68.16806791131857</v>
      </c>
      <c r="F100" s="2" t="n">
        <v>10</v>
      </c>
    </row>
    <row r="101">
      <c r="A101" s="2" t="n">
        <v>3.430381272972107</v>
      </c>
      <c r="B101" s="2" t="n">
        <v>1612.954440023337</v>
      </c>
      <c r="C101" s="2" t="n">
        <v>11.74589599994943</v>
      </c>
      <c r="D101" s="2" t="n">
        <v>61.69743407234546</v>
      </c>
      <c r="E101" s="2" t="n">
        <v>58.96260816802805</v>
      </c>
      <c r="F101" s="2" t="n">
        <v>10</v>
      </c>
    </row>
    <row r="102">
      <c r="A102" s="2" t="n">
        <v>3.53528071900177</v>
      </c>
      <c r="B102" s="2" t="n">
        <v>1659.458396849475</v>
      </c>
      <c r="C102" s="2" t="n">
        <v>11.8542283999268</v>
      </c>
      <c r="D102" s="2" t="n">
        <v>46.50395682613771</v>
      </c>
      <c r="E102" s="2" t="n">
        <v>47.52281353558929</v>
      </c>
      <c r="F102" s="2" t="n">
        <v>10</v>
      </c>
    </row>
    <row r="103">
      <c r="A103" s="2" t="n">
        <v>3.623886671684265</v>
      </c>
      <c r="B103" s="2" t="n">
        <v>1691.275325670945</v>
      </c>
      <c r="C103" s="2" t="n">
        <v>11.96469369996339</v>
      </c>
      <c r="D103" s="2" t="n">
        <v>31.81692882147036</v>
      </c>
      <c r="E103" s="2" t="n">
        <v>37.44745274212373</v>
      </c>
      <c r="F103" s="2" t="n">
        <v>10</v>
      </c>
    </row>
    <row r="104">
      <c r="A104" s="2" t="n">
        <v>3.74955628868866</v>
      </c>
      <c r="B104" s="2" t="n">
        <v>1723.926406184364</v>
      </c>
      <c r="C104" s="2" t="n">
        <v>12.11913719994482</v>
      </c>
      <c r="D104" s="2" t="n">
        <v>32.65108051341895</v>
      </c>
      <c r="E104" s="2" t="n">
        <v>27.85470828471416</v>
      </c>
      <c r="F104" s="2" t="n">
        <v>10</v>
      </c>
    </row>
    <row r="105">
      <c r="A105" s="2" t="n">
        <v>3.861352238090515</v>
      </c>
      <c r="B105" s="2" t="n">
        <v>1738.49426966161</v>
      </c>
      <c r="C105" s="2" t="n">
        <v>12.24161209992599</v>
      </c>
      <c r="D105" s="2" t="n">
        <v>14.56786347724619</v>
      </c>
      <c r="E105" s="2" t="n">
        <v>15.79525810968498</v>
      </c>
      <c r="F105" s="2" t="n">
        <v>10</v>
      </c>
    </row>
    <row r="106">
      <c r="A106" s="2" t="n">
        <v>3.99537025391388</v>
      </c>
      <c r="B106" s="2" t="n">
        <v>1752.227981446908</v>
      </c>
      <c r="C106" s="2" t="n">
        <v>12.41539139999077</v>
      </c>
      <c r="D106" s="2" t="n">
        <v>13.7337117852976</v>
      </c>
      <c r="E106" s="2" t="n">
        <v>5.463693582263749</v>
      </c>
      <c r="F106" s="2" t="n">
        <v>10</v>
      </c>
    </row>
    <row r="107">
      <c r="A107" s="2" t="n">
        <v>4.119708966758727</v>
      </c>
      <c r="B107" s="2" t="n">
        <v>1738.4346873979</v>
      </c>
      <c r="C107" s="2" t="n">
        <v>12.51089899998624</v>
      </c>
      <c r="D107" s="2" t="n">
        <v>-13.79329404900818</v>
      </c>
      <c r="E107" s="2" t="n">
        <v>-12.59569054842477</v>
      </c>
      <c r="F107" s="2" t="n">
        <v>10</v>
      </c>
    </row>
    <row r="108">
      <c r="A108" s="2" t="n">
        <v>4.238320758674622</v>
      </c>
      <c r="B108" s="2" t="n">
        <v>1718.593793582264</v>
      </c>
      <c r="C108" s="2" t="n">
        <v>12.67485959990881</v>
      </c>
      <c r="D108" s="2" t="n">
        <v>-19.84089381563581</v>
      </c>
      <c r="E108" s="2" t="n">
        <v>-27.16355402567097</v>
      </c>
      <c r="F108" s="2" t="n">
        <v>10</v>
      </c>
    </row>
    <row r="109">
      <c r="A109" s="2" t="n">
        <v>4.383711955497742</v>
      </c>
      <c r="B109" s="2" t="n">
        <v>1660.94795344224</v>
      </c>
      <c r="C109" s="2" t="n">
        <v>12.7945096999174</v>
      </c>
      <c r="D109" s="2" t="n">
        <v>-57.64584014002367</v>
      </c>
      <c r="E109" s="2" t="n">
        <v>-45.74130385064181</v>
      </c>
      <c r="F109" s="2" t="n">
        <v>10</v>
      </c>
    </row>
    <row r="110">
      <c r="A110" s="2" t="n">
        <v>4.497322774208069</v>
      </c>
      <c r="B110" s="2" t="n">
        <v>1602.676499533256</v>
      </c>
      <c r="C110" s="2" t="n">
        <v>12.89646139997058</v>
      </c>
      <c r="D110" s="2" t="n">
        <v>-58.27145390898477</v>
      </c>
      <c r="E110" s="2" t="n">
        <v>-58.40253488914823</v>
      </c>
      <c r="F110" s="2" t="n">
        <v>10</v>
      </c>
    </row>
    <row r="111">
      <c r="A111" s="2" t="n">
        <v>4.630130877159119</v>
      </c>
      <c r="B111" s="2" t="n">
        <v>1523.521462193699</v>
      </c>
      <c r="C111" s="2" t="n">
        <v>13.0402986999834</v>
      </c>
      <c r="D111" s="2" t="n">
        <v>-79.15503733955666</v>
      </c>
      <c r="E111" s="2" t="n">
        <v>-70.0806585764295</v>
      </c>
      <c r="F111" s="2" t="n">
        <v>10</v>
      </c>
    </row>
    <row r="112">
      <c r="A112" s="2" t="n">
        <v>4.748702338645935</v>
      </c>
      <c r="B112" s="2" t="n">
        <v>1446.422012952159</v>
      </c>
      <c r="C112" s="2" t="n">
        <v>13.16058819997124</v>
      </c>
      <c r="D112" s="2" t="n">
        <v>-77.09944924154024</v>
      </c>
      <c r="E112" s="2" t="n">
        <v>-76.13421656942823</v>
      </c>
      <c r="F112" s="2" t="n">
        <v>10</v>
      </c>
    </row>
    <row r="113">
      <c r="A113" s="2" t="n">
        <v>4.869169330299377</v>
      </c>
      <c r="B113" s="2" t="n">
        <v>1368.190500700116</v>
      </c>
      <c r="C113" s="2" t="n">
        <v>13.32834129990079</v>
      </c>
      <c r="D113" s="2" t="n">
        <v>-78.23151225204219</v>
      </c>
      <c r="E113" s="2" t="n">
        <v>-78.29109451575263</v>
      </c>
      <c r="F113" s="2" t="n">
        <v>10</v>
      </c>
    </row>
    <row r="114">
      <c r="A114" s="2" t="n">
        <v>5.017141674583435</v>
      </c>
      <c r="B114" s="2" t="n">
        <v>1280.276870595099</v>
      </c>
      <c r="C114" s="2" t="n">
        <v>13.43619269994088</v>
      </c>
      <c r="D114" s="2" t="n">
        <v>-87.91363010501732</v>
      </c>
      <c r="E114" s="2" t="n">
        <v>-79.00608168028006</v>
      </c>
      <c r="F114" s="2" t="n">
        <v>10</v>
      </c>
    </row>
    <row r="115">
      <c r="A115" s="2" t="n">
        <v>5.141036752708436</v>
      </c>
      <c r="B115" s="2" t="n">
        <v>1211.221026954492</v>
      </c>
      <c r="C115" s="2" t="n">
        <v>13.56995189993177</v>
      </c>
      <c r="D115" s="2" t="n">
        <v>-69.05584364060678</v>
      </c>
      <c r="E115" s="2" t="n">
        <v>-76.67641516919484</v>
      </c>
      <c r="F115" s="2" t="n">
        <v>10</v>
      </c>
    </row>
    <row r="116">
      <c r="A116" s="2" t="n">
        <v>5.285903653953552</v>
      </c>
      <c r="B116" s="2" t="n">
        <v>1128.491053792299</v>
      </c>
      <c r="C116" s="2" t="n">
        <v>13.68849809991661</v>
      </c>
      <c r="D116" s="2" t="n">
        <v>-82.7299731621938</v>
      </c>
      <c r="E116" s="2" t="n">
        <v>-75.44306231038505</v>
      </c>
      <c r="F116" s="2" t="n">
        <v>10</v>
      </c>
    </row>
    <row r="117">
      <c r="A117" s="2" t="n">
        <v>5.399595133522034</v>
      </c>
      <c r="B117" s="2" t="n">
        <v>1063.039937106184</v>
      </c>
      <c r="C117" s="2" t="n">
        <v>13.81110199994873</v>
      </c>
      <c r="D117" s="2" t="n">
        <v>-65.45111668611412</v>
      </c>
      <c r="E117" s="2" t="n">
        <v>-69.6457080513419</v>
      </c>
      <c r="F117" s="2" t="n">
        <v>10</v>
      </c>
    </row>
    <row r="118">
      <c r="A118" s="2" t="n">
        <v>5.530951341026307</v>
      </c>
      <c r="B118" s="2" t="n">
        <v>990.9751891481912</v>
      </c>
      <c r="C118" s="2" t="n">
        <v>13.98548359994311</v>
      </c>
      <c r="D118" s="2" t="n">
        <v>-72.06474795799318</v>
      </c>
      <c r="E118" s="2" t="n">
        <v>-67.03600490081681</v>
      </c>
      <c r="F118" s="2" t="n">
        <v>10</v>
      </c>
    </row>
    <row r="119">
      <c r="A119" s="2" t="n">
        <v>5.670373634346008</v>
      </c>
      <c r="B119" s="2" t="n">
        <v>932.0483303383896</v>
      </c>
      <c r="C119" s="2" t="n">
        <v>14.09167259989772</v>
      </c>
      <c r="D119" s="2" t="n">
        <v>-58.92685880980162</v>
      </c>
      <c r="E119" s="2" t="n">
        <v>-62.81162240373394</v>
      </c>
      <c r="F119" s="2" t="n">
        <v>10</v>
      </c>
    </row>
    <row r="120">
      <c r="A120" s="2" t="n">
        <v>5.787130226524353</v>
      </c>
      <c r="B120" s="2" t="n">
        <v>876.0410024504083</v>
      </c>
      <c r="C120" s="2" t="n">
        <v>14.26320960000157</v>
      </c>
      <c r="D120" s="2" t="n">
        <v>-56.00732788798132</v>
      </c>
      <c r="E120" s="2" t="n">
        <v>-57.36580350058345</v>
      </c>
      <c r="F120" s="2" t="n">
        <v>10</v>
      </c>
    </row>
    <row r="121">
      <c r="A121" s="2" t="n">
        <v>5.94091015259552</v>
      </c>
      <c r="B121" s="2" t="n">
        <v>814.4329417736288</v>
      </c>
      <c r="C121" s="2" t="n">
        <v>14.38401739997789</v>
      </c>
      <c r="D121" s="2" t="n">
        <v>-61.60806067677947</v>
      </c>
      <c r="E121" s="2" t="n">
        <v>-53.24866907817968</v>
      </c>
      <c r="F121" s="2" t="n">
        <v>10</v>
      </c>
    </row>
    <row r="122">
      <c r="A122" s="2" t="n">
        <v>6.044881998756408</v>
      </c>
      <c r="B122" s="2" t="n">
        <v>776.2109196032671</v>
      </c>
      <c r="C122" s="2" t="n">
        <v>14.48166209994815</v>
      </c>
      <c r="D122" s="2" t="n">
        <v>-38.2220221703617</v>
      </c>
      <c r="E122" s="2" t="n">
        <v>-49.99547747957993</v>
      </c>
      <c r="F122" s="2" t="n">
        <v>10</v>
      </c>
    </row>
    <row r="123">
      <c r="A123" s="2" t="n">
        <v>6.181198849037171</v>
      </c>
      <c r="B123" s="2" t="n">
        <v>724.7318437572928</v>
      </c>
      <c r="C123" s="2" t="n">
        <v>14.65420439990703</v>
      </c>
      <c r="D123" s="2" t="n">
        <v>-51.47907584597431</v>
      </c>
      <c r="E123" s="2" t="n">
        <v>-45.60426464410735</v>
      </c>
      <c r="F123" s="2" t="n">
        <v>10</v>
      </c>
    </row>
    <row r="124">
      <c r="A124" s="2" t="n">
        <v>6.309852917793274</v>
      </c>
      <c r="B124" s="2" t="n">
        <v>682.07094294049</v>
      </c>
      <c r="C124" s="2" t="n">
        <v>14.76200549991336</v>
      </c>
      <c r="D124" s="2" t="n">
        <v>-42.66090081680284</v>
      </c>
      <c r="E124" s="2" t="n">
        <v>-42.59536032672113</v>
      </c>
      <c r="F124" s="2" t="n">
        <v>10</v>
      </c>
    </row>
    <row r="125">
      <c r="A125" s="2" t="n">
        <v>6.418745076301574</v>
      </c>
      <c r="B125" s="2" t="n">
        <v>648.0196792298716</v>
      </c>
      <c r="C125" s="2" t="n">
        <v>14.88063429994509</v>
      </c>
      <c r="D125" s="2" t="n">
        <v>-34.0512637106184</v>
      </c>
      <c r="E125" s="2" t="n">
        <v>-42.69665017502918</v>
      </c>
      <c r="F125" s="2" t="n">
        <v>10</v>
      </c>
    </row>
    <row r="126">
      <c r="A126" s="2" t="n">
        <v>6.567564359596252</v>
      </c>
      <c r="B126" s="2" t="n">
        <v>601.4561401400232</v>
      </c>
      <c r="C126" s="2" t="n">
        <v>15.01026329991873</v>
      </c>
      <c r="D126" s="2" t="n">
        <v>-46.5635390898484</v>
      </c>
      <c r="E126" s="2" t="n">
        <v>-41.42158973162195</v>
      </c>
      <c r="F126" s="2" t="n">
        <v>10</v>
      </c>
    </row>
    <row r="127">
      <c r="A127" s="2" t="n">
        <v>6.691338446434021</v>
      </c>
      <c r="B127" s="2" t="n">
        <v>562.7276687281212</v>
      </c>
      <c r="C127" s="2" t="n">
        <v>15.11987699999008</v>
      </c>
      <c r="D127" s="2" t="n">
        <v>-38.72847141190198</v>
      </c>
      <c r="E127" s="2" t="n">
        <v>-40.81385064177364</v>
      </c>
      <c r="F127" s="2" t="n">
        <v>10</v>
      </c>
    </row>
    <row r="128">
      <c r="A128" s="2" t="n">
        <v>6.817451698158264</v>
      </c>
      <c r="B128" s="2" t="n">
        <v>517.6238950991831</v>
      </c>
      <c r="C128" s="2" t="n">
        <v>15.29302619991358</v>
      </c>
      <c r="D128" s="2" t="n">
        <v>-45.10377362893814</v>
      </c>
      <c r="E128" s="2" t="n">
        <v>-40.42656592765461</v>
      </c>
      <c r="F128" s="2" t="n">
        <v>10</v>
      </c>
    </row>
    <row r="129">
      <c r="A129" s="2" t="n">
        <v>6.941024132850647</v>
      </c>
      <c r="B129" s="2" t="n">
        <v>478.0016897316218</v>
      </c>
      <c r="C129" s="2" t="n">
        <v>15.4007429999765</v>
      </c>
      <c r="D129" s="2" t="n">
        <v>-39.62220536756126</v>
      </c>
      <c r="E129" s="2" t="n">
        <v>-38.79401190198365</v>
      </c>
      <c r="F129" s="2" t="n">
        <v>10</v>
      </c>
    </row>
    <row r="130">
      <c r="A130" s="2" t="n">
        <v>7.059635924766541</v>
      </c>
      <c r="B130" s="2" t="n">
        <v>445.8868495915985</v>
      </c>
      <c r="C130" s="2" t="n">
        <v>15.53842100000475</v>
      </c>
      <c r="D130" s="2" t="n">
        <v>-32.11484014002326</v>
      </c>
      <c r="E130" s="2" t="n">
        <v>-36.4583871645274</v>
      </c>
      <c r="F130" s="2" t="n">
        <v>10</v>
      </c>
    </row>
    <row r="131">
      <c r="A131" s="2" t="n">
        <v>7.210471729515076</v>
      </c>
      <c r="B131" s="2" t="n">
        <v>407.4860806301049</v>
      </c>
      <c r="C131" s="2" t="n">
        <v>15.69076539995149</v>
      </c>
      <c r="D131" s="2" t="n">
        <v>-38.40076896149361</v>
      </c>
      <c r="E131" s="2" t="n">
        <v>-32.69278809801633</v>
      </c>
      <c r="F131" s="2" t="n">
        <v>10</v>
      </c>
    </row>
    <row r="132">
      <c r="A132" s="2" t="n">
        <v>7.323961556938171</v>
      </c>
      <c r="B132" s="2" t="n">
        <v>380.4357329054842</v>
      </c>
      <c r="C132" s="2" t="n">
        <v>15.78614599991124</v>
      </c>
      <c r="D132" s="2" t="n">
        <v>-27.05034772462074</v>
      </c>
      <c r="E132" s="2" t="n">
        <v>-30.45249498249707</v>
      </c>
      <c r="F132" s="2" t="n">
        <v>10</v>
      </c>
    </row>
    <row r="133">
      <c r="A133" s="2" t="n">
        <v>7.450599104240418</v>
      </c>
      <c r="B133" s="2" t="n">
        <v>354.1599546091014</v>
      </c>
      <c r="C133" s="2" t="n">
        <v>15.93441729992628</v>
      </c>
      <c r="D133" s="2" t="n">
        <v>-26.27577829638278</v>
      </c>
      <c r="E133" s="2" t="n">
        <v>-27.31846791131856</v>
      </c>
      <c r="F133" s="2" t="n">
        <v>10</v>
      </c>
    </row>
    <row r="134">
      <c r="A134" s="2" t="n">
        <v>7.583689520195007</v>
      </c>
      <c r="B134" s="2" t="n">
        <v>325.7392148191365</v>
      </c>
      <c r="C134" s="2" t="n">
        <v>16.06551419990137</v>
      </c>
      <c r="D134" s="2" t="n">
        <v>-28.42073978996495</v>
      </c>
      <c r="E134" s="2" t="n">
        <v>-23.97590291715286</v>
      </c>
      <c r="F134" s="2" t="n">
        <v>10</v>
      </c>
    </row>
    <row r="135">
      <c r="A135" s="2" t="n">
        <v>7.6895972269516</v>
      </c>
      <c r="B135" s="2" t="n">
        <v>309.2945100350058</v>
      </c>
      <c r="C135" s="2" t="n">
        <v>16.19816509995144</v>
      </c>
      <c r="D135" s="2" t="n">
        <v>-16.44470478413069</v>
      </c>
      <c r="E135" s="2" t="n">
        <v>-22.00968821470245</v>
      </c>
      <c r="F135" s="2" t="n">
        <v>10</v>
      </c>
    </row>
    <row r="136">
      <c r="A136" s="2" t="n">
        <v>7.82325226891327</v>
      </c>
      <c r="B136" s="2" t="n">
        <v>287.6065660443406</v>
      </c>
      <c r="C136" s="2" t="n">
        <v>16.33103599993046</v>
      </c>
      <c r="D136" s="2" t="n">
        <v>-21.68794399066513</v>
      </c>
      <c r="E136" s="2" t="n">
        <v>-20.49034049008168</v>
      </c>
      <c r="F136" s="2" t="n">
        <v>10</v>
      </c>
    </row>
    <row r="137">
      <c r="A137" s="2" t="n">
        <v>7.93270905342865</v>
      </c>
      <c r="B137" s="2" t="n">
        <v>270.3872918319719</v>
      </c>
      <c r="C137" s="2" t="n">
        <v>16.44095570000354</v>
      </c>
      <c r="D137" s="2" t="n">
        <v>-17.2192742123687</v>
      </c>
      <c r="E137" s="2" t="n">
        <v>-18.10704994165695</v>
      </c>
      <c r="F137" s="2" t="n">
        <v>10</v>
      </c>
    </row>
    <row r="138">
      <c r="A138" s="2" t="n">
        <v>8.056926774986268</v>
      </c>
      <c r="B138" s="2" t="n">
        <v>251.708252158693</v>
      </c>
      <c r="C138" s="2" t="n">
        <v>16.59983609989285</v>
      </c>
      <c r="D138" s="2" t="n">
        <v>-18.67903967327891</v>
      </c>
      <c r="E138" s="2" t="n">
        <v>-17.49931085180863</v>
      </c>
      <c r="F138" s="2" t="n">
        <v>10</v>
      </c>
    </row>
    <row r="139">
      <c r="A139" s="2" t="n">
        <v>8.182636722419739</v>
      </c>
      <c r="B139" s="2" t="n">
        <v>235.2039651108517</v>
      </c>
      <c r="C139" s="2" t="n">
        <v>16.72111859999131</v>
      </c>
      <c r="D139" s="2" t="n">
        <v>-16.5042870478413</v>
      </c>
      <c r="E139" s="2" t="n">
        <v>-17.18352485414236</v>
      </c>
      <c r="F139" s="2" t="n">
        <v>10</v>
      </c>
    </row>
    <row r="140">
      <c r="A140" s="2" t="n">
        <v>8.279066778343202</v>
      </c>
      <c r="B140" s="2" t="n">
        <v>221.7979557759626</v>
      </c>
      <c r="C140" s="2" t="n">
        <v>16.81563480000477</v>
      </c>
      <c r="D140" s="2" t="n">
        <v>-13.40600933488912</v>
      </c>
      <c r="E140" s="2" t="n">
        <v>-16.68899206534422</v>
      </c>
      <c r="F140" s="2" t="n">
        <v>10</v>
      </c>
    </row>
    <row r="141">
      <c r="A141" s="2" t="n">
        <v>8.417964776084899</v>
      </c>
      <c r="B141" s="2" t="n">
        <v>201.6889417736289</v>
      </c>
      <c r="C141" s="2" t="n">
        <v>16.97401189990342</v>
      </c>
      <c r="D141" s="2" t="n">
        <v>-20.10901400233374</v>
      </c>
      <c r="E141" s="2" t="n">
        <v>-15.71780116686113</v>
      </c>
      <c r="F141" s="2" t="n">
        <v>10</v>
      </c>
    </row>
    <row r="142">
      <c r="A142" s="2" t="n">
        <v>8.535689298561097</v>
      </c>
      <c r="B142" s="2" t="n">
        <v>186.9423315052508</v>
      </c>
      <c r="C142" s="2" t="n">
        <v>17.09403759997804</v>
      </c>
      <c r="D142" s="2" t="n">
        <v>-14.74661026837805</v>
      </c>
      <c r="E142" s="2" t="n">
        <v>-15.95017199533254</v>
      </c>
      <c r="F142" s="2" t="n">
        <v>10</v>
      </c>
    </row>
    <row r="143">
      <c r="A143" s="2" t="n">
        <v>8.647202934959413</v>
      </c>
      <c r="B143" s="2" t="n">
        <v>173.1192463243874</v>
      </c>
      <c r="C143" s="2" t="n">
        <v>17.2201364999637</v>
      </c>
      <c r="D143" s="2" t="n">
        <v>-13.82308518086344</v>
      </c>
      <c r="E143" s="2" t="n">
        <v>-16.01571248541423</v>
      </c>
      <c r="F143" s="2" t="n">
        <v>10</v>
      </c>
    </row>
    <row r="144">
      <c r="A144" s="2" t="n">
        <v>8.773033873680115</v>
      </c>
      <c r="B144" s="2" t="n">
        <v>155.453105134189</v>
      </c>
      <c r="C144" s="2" t="n">
        <v>17.35834479995538</v>
      </c>
      <c r="D144" s="2" t="n">
        <v>-17.66614119019837</v>
      </c>
      <c r="E144" s="2" t="n">
        <v>-13.54602765460909</v>
      </c>
      <c r="F144" s="2" t="n">
        <v>10</v>
      </c>
    </row>
    <row r="145">
      <c r="A145" s="2" t="n">
        <v>8.877489684989929</v>
      </c>
      <c r="B145" s="2" t="n">
        <v>141.7193933488915</v>
      </c>
      <c r="C145" s="2" t="n">
        <v>17.46752349997405</v>
      </c>
      <c r="D145" s="2" t="n">
        <v>-13.73371178529754</v>
      </c>
      <c r="F145" s="2" t="n">
        <v>10</v>
      </c>
    </row>
    <row r="146">
      <c r="A146" s="2" t="n">
        <v>8.957061621559143</v>
      </c>
      <c r="B146" s="2" t="n">
        <v>133.9588035005834</v>
      </c>
      <c r="C146" s="2" t="n">
        <v>17.49929169996176</v>
      </c>
      <c r="D146" s="2" t="n">
        <v>-7.76058984830803</v>
      </c>
      <c r="F146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1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3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</cols>
  <sheetData>
    <row r="1" ht="28" customHeight="1">
      <c r="A1" s="7" t="inlineStr">
        <is>
          <t>Resultados Marshall</t>
        </is>
      </c>
    </row>
    <row r="2">
      <c r="A2" s="8" t="inlineStr">
        <is>
          <t>Ensayo: ensayo_20261015_163054</t>
        </is>
      </c>
    </row>
    <row r="3" ht="20" customHeight="1">
      <c r="A3" s="9" t="inlineStr">
        <is>
          <t>UNE-EN 12697-34:2022 · 3.1–3.5; 7.1–7.4; anexo A, figura A.1</t>
        </is>
      </c>
    </row>
    <row r="4">
      <c r="A4" s="10" t="inlineStr"/>
    </row>
    <row r="6" ht="29" customHeight="1">
      <c r="M6" s="11" t="inlineStr">
        <is>
          <t>Carga máxima (kp)</t>
        </is>
      </c>
      <c r="N6" s="12" t="n"/>
      <c r="O6" s="12" t="n"/>
      <c r="P6" s="12" t="n"/>
      <c r="Q6" s="12" t="n"/>
      <c r="R6" s="13">
        <f>IF('Resultados Marshall'!H2="","No disponible",'Resultados Marshall'!H2)</f>
        <v/>
      </c>
      <c r="S6" s="12" t="n"/>
    </row>
    <row r="7" ht="29" customHeight="1">
      <c r="M7" s="14" t="inlineStr">
        <is>
          <t>Carga máxima sin corregir (kN)</t>
        </is>
      </c>
      <c r="N7" s="15" t="n"/>
      <c r="O7" s="15" t="n"/>
      <c r="P7" s="15" t="n"/>
      <c r="Q7" s="15" t="n"/>
      <c r="R7" s="16">
        <f>IF('Resultados Marshall'!H3="","No disponible",'Resultados Marshall'!H3)</f>
        <v/>
      </c>
      <c r="S7" s="15" t="n"/>
    </row>
    <row r="8" ht="29" customHeight="1">
      <c r="M8" s="11" t="inlineStr">
        <is>
          <t>Estabilidad S corregida (kN)</t>
        </is>
      </c>
      <c r="N8" s="12" t="n"/>
      <c r="O8" s="12" t="n"/>
      <c r="P8" s="12" t="n"/>
      <c r="Q8" s="12" t="n"/>
      <c r="R8" s="17">
        <f>IF('Resultados Marshall'!H4="","No disponible",'Resultados Marshall'!H4)</f>
        <v/>
      </c>
      <c r="S8" s="12" t="n"/>
    </row>
    <row r="9" ht="29" customHeight="1">
      <c r="M9" s="14" t="inlineStr">
        <is>
          <t>Deformación F corregida (mm)</t>
        </is>
      </c>
      <c r="N9" s="15" t="n"/>
      <c r="O9" s="15" t="n"/>
      <c r="P9" s="15" t="n"/>
      <c r="Q9" s="15" t="n"/>
      <c r="R9" s="16">
        <f>IF('Resultados Marshall'!H5="","No disponible",'Resultados Marshall'!H5)</f>
        <v/>
      </c>
      <c r="S9" s="15" t="n"/>
    </row>
    <row r="10" ht="29" customHeight="1">
      <c r="M10" s="11" t="inlineStr">
        <is>
          <t>Deformación tangencial Ft (mm)</t>
        </is>
      </c>
      <c r="N10" s="12" t="n"/>
      <c r="O10" s="12" t="n"/>
      <c r="P10" s="12" t="n"/>
      <c r="Q10" s="12" t="n"/>
      <c r="R10" s="17">
        <f>IF('Resultados Marshall'!H6="","No disponible",'Resultados Marshall'!H6)</f>
        <v/>
      </c>
      <c r="S10" s="12" t="n"/>
    </row>
    <row r="11" ht="29" customHeight="1">
      <c r="M11" s="14" t="inlineStr">
        <is>
          <t>Deformación total FT (mm)</t>
        </is>
      </c>
      <c r="N11" s="15" t="n"/>
      <c r="O11" s="15" t="n"/>
      <c r="P11" s="15" t="n"/>
      <c r="Q11" s="15" t="n"/>
      <c r="R11" s="16">
        <f>IF('Resultados Marshall'!H7="","No disponible",'Resultados Marshall'!H7)</f>
        <v/>
      </c>
      <c r="S11" s="15" t="n"/>
    </row>
    <row r="12" ht="29" customHeight="1">
      <c r="M12" s="11" t="inlineStr">
        <is>
          <t>Cociente Marshall S/F (kN/mm)</t>
        </is>
      </c>
      <c r="N12" s="12" t="n"/>
      <c r="O12" s="12" t="n"/>
      <c r="P12" s="12" t="n"/>
      <c r="Q12" s="12" t="n"/>
      <c r="R12" s="17">
        <f>IF('Resultados Marshall'!H8="","No disponible",'Resultados Marshall'!H8)</f>
        <v/>
      </c>
      <c r="S12" s="12" t="n"/>
    </row>
    <row r="13" ht="29" customHeight="1">
      <c r="M13" s="14" t="inlineStr">
        <is>
          <t>Cero de la tangente A (mm)</t>
        </is>
      </c>
      <c r="N13" s="15" t="n"/>
      <c r="O13" s="15" t="n"/>
      <c r="P13" s="15" t="n"/>
      <c r="Q13" s="15" t="n"/>
      <c r="R13" s="18">
        <f>IF('Resultados Marshall'!H9="","No disponible",'Resultados Marshall'!H9)</f>
        <v/>
      </c>
      <c r="S13" s="15" t="n"/>
    </row>
    <row r="14" ht="29" customHeight="1">
      <c r="M14" s="11" t="inlineStr">
        <is>
          <t>Factor de corrección c</t>
        </is>
      </c>
      <c r="N14" s="12" t="n"/>
      <c r="O14" s="12" t="n"/>
      <c r="P14" s="12" t="n"/>
      <c r="Q14" s="12" t="n"/>
      <c r="R14" s="19">
        <f>IF('Resultados Marshall'!H10="","No disponible",'Resultados Marshall'!H10)</f>
        <v/>
      </c>
      <c r="S14" s="12" t="n"/>
    </row>
    <row r="18">
      <c r="M18" s="20" t="inlineStr">
        <is>
          <t>Datos de probeta · rellenar una opción</t>
        </is>
      </c>
    </row>
    <row r="20">
      <c r="M20" t="inlineStr">
        <is>
          <t>Altura h (mm)</t>
        </is>
      </c>
      <c r="R20" s="21" t="n"/>
    </row>
    <row r="21">
      <c r="M21" t="inlineStr">
        <is>
          <t>Volumen v (mm³)</t>
        </is>
      </c>
      <c r="R21" s="22" t="n"/>
    </row>
    <row r="23">
      <c r="M23" t="inlineStr">
        <is>
          <t>Si rellena h y v, se usa h.</t>
        </is>
      </c>
    </row>
    <row r="24">
      <c r="M24" t="inlineStr">
        <is>
          <t>Introduzca una dimensión para calcular S y S/F.</t>
        </is>
      </c>
    </row>
    <row r="26">
      <c r="M26" s="6">
        <f>IF(AND(ISNUMBER(R20),R20&gt;0,OR(R20&lt;60.5,R20&gt;66.5)),"Altura fuera de 60,5–66,5 mm: revisar precisión (§7.1).","")</f>
        <v/>
      </c>
    </row>
    <row r="27"/>
    <row r="28"/>
    <row r="30">
      <c r="M30" t="inlineStr">
        <is>
          <t>Resultados individuales (§7.3 y §8).</t>
        </is>
      </c>
    </row>
    <row r="31">
      <c r="M31" t="inlineStr">
        <is>
          <t>Revisar el grupo y las condiciones del ensayo.</t>
        </is>
      </c>
    </row>
  </sheetData>
  <mergeCells count="32">
    <mergeCell ref="M18:S18"/>
    <mergeCell ref="R11:S11"/>
    <mergeCell ref="M24:S24"/>
    <mergeCell ref="R10:S10"/>
    <mergeCell ref="M26:S28"/>
    <mergeCell ref="R13:S13"/>
    <mergeCell ref="M9:Q9"/>
    <mergeCell ref="A4:S4"/>
    <mergeCell ref="M23:S23"/>
    <mergeCell ref="M20:Q20"/>
    <mergeCell ref="R7:S7"/>
    <mergeCell ref="M11:Q11"/>
    <mergeCell ref="R6:S6"/>
    <mergeCell ref="M10:Q10"/>
    <mergeCell ref="M13:Q13"/>
    <mergeCell ref="R21:S21"/>
    <mergeCell ref="R12:S12"/>
    <mergeCell ref="M7:Q7"/>
    <mergeCell ref="M12:Q12"/>
    <mergeCell ref="R20:S20"/>
    <mergeCell ref="M21:Q21"/>
    <mergeCell ref="M6:Q6"/>
    <mergeCell ref="A1:S1"/>
    <mergeCell ref="M8:Q8"/>
    <mergeCell ref="M31:S31"/>
    <mergeCell ref="M30:S30"/>
    <mergeCell ref="M14:Q14"/>
    <mergeCell ref="A3:S3"/>
    <mergeCell ref="R14:S14"/>
    <mergeCell ref="R9:S9"/>
    <mergeCell ref="A2:S2"/>
    <mergeCell ref="R8:S8"/>
  </mergeCells>
  <dataValidations count="2">
    <dataValidation sqref="R20" showDropDown="0" showInputMessage="0" showErrorMessage="1" allowBlank="1" errorTitle="Dimensión inválida" error="Introduzca un número positivo." type="decimal" operator="greaterThan">
      <formula1>0</formula1>
    </dataValidation>
    <dataValidation sqref="R21" showDropDown="0" showInputMessage="0" showErrorMessage="1" allowBlank="1" errorTitle="Dimensión inválida" error="Introduzca un número positivo." type="decimal" operator="greaterThan">
      <formula1>0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9" fitToHeight="1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23" t="inlineStr">
        <is>
          <t>Referencia normativa</t>
        </is>
      </c>
      <c r="B1" s="23" t="inlineStr">
        <is>
          <t>UNE-EN 12697-34:2022</t>
        </is>
      </c>
    </row>
    <row r="2" ht="32" customHeight="1">
      <c r="A2" t="inlineStr">
        <is>
          <t>Título</t>
        </is>
      </c>
      <c r="B2" s="24" t="inlineStr">
        <is>
          <t>Mezclas bituminosas. Métodos de ensayo. Parte 34: Ensayo Marshall.</t>
        </is>
      </c>
    </row>
    <row r="3" ht="32" customHeight="1">
      <c r="A3" t="inlineStr">
        <is>
          <t>Edición</t>
        </is>
      </c>
      <c r="B3" s="24" t="inlineStr">
        <is>
          <t>Marzo de 2022; versión española de EN 12697-34:2020</t>
        </is>
      </c>
    </row>
    <row r="4" ht="32" customHeight="1">
      <c r="A4" t="inlineStr">
        <is>
          <t>Fuente</t>
        </is>
      </c>
      <c r="B4" s="24" t="inlineStr">
        <is>
          <t>https://tienda.aenor.com/p/norma-une-en-12697-34-2022-n0068669</t>
        </is>
      </c>
    </row>
    <row r="5" ht="32" customHeight="1">
      <c r="A5" t="inlineStr">
        <is>
          <t>Fuente de cálculo</t>
        </is>
      </c>
      <c r="B5" s="24" t="inlineStr">
        <is>
          <t>PDF aportado por el usuario, apartados 3, 7 y anexo A.</t>
        </is>
      </c>
    </row>
    <row r="6" ht="32" customHeight="1">
      <c r="A6" t="inlineStr">
        <is>
          <t>S corregida (kN)</t>
        </is>
      </c>
      <c r="B6" s="24" t="inlineStr">
        <is>
          <t>S = carga máxima (kN) × c</t>
        </is>
      </c>
    </row>
    <row r="7" ht="32" customHeight="1">
      <c r="A7" t="inlineStr">
        <is>
          <t>c por altura h (mm)</t>
        </is>
      </c>
      <c r="B7" s="24" t="inlineStr">
        <is>
          <t>c = 5,2 × exp(−0,0259 × h)</t>
        </is>
      </c>
    </row>
    <row r="8" ht="32" customHeight="1">
      <c r="A8" t="inlineStr">
        <is>
          <t>c por volumen v (mm³)</t>
        </is>
      </c>
      <c r="B8" s="24" t="inlineStr">
        <is>
          <t>c = 5,2 × exp(−3,2 × 10^−6 × v)</t>
        </is>
      </c>
    </row>
    <row r="9" ht="32" customHeight="1">
      <c r="A9" t="inlineStr">
        <is>
          <t>F (mm)</t>
        </is>
      </c>
      <c r="B9" s="24" t="inlineStr">
        <is>
          <t>F = deformación al máximo − corte A de la tangente</t>
        </is>
      </c>
    </row>
    <row r="10" ht="32" customHeight="1">
      <c r="A10" t="inlineStr">
        <is>
          <t>Ft (mm)</t>
        </is>
      </c>
      <c r="B10" s="24" t="inlineStr">
        <is>
          <t>Ft = carga máxima / pendiente de la tangente</t>
        </is>
      </c>
    </row>
    <row r="11" ht="32" customHeight="1">
      <c r="A11" t="inlineStr">
        <is>
          <t>FT (mm)</t>
        </is>
      </c>
      <c r="B11" s="24" t="inlineStr">
        <is>
          <t>FT = deformación total al máximo</t>
        </is>
      </c>
    </row>
    <row r="12" ht="32" customHeight="1">
      <c r="A12" t="inlineStr">
        <is>
          <t>Cociente Marshall (kN/mm)</t>
        </is>
      </c>
      <c r="B12" s="24" t="inlineStr">
        <is>
          <t>S / F; se calcula antes del redondeo de presentación</t>
        </is>
      </c>
    </row>
    <row r="13" ht="32" customHeight="1">
      <c r="A13" t="inlineStr">
        <is>
          <t>Redondeo</t>
        </is>
      </c>
      <c r="B13" s="24" t="inlineStr">
        <is>
          <t>S: 0,1 kN; F, Ft, FT: 0,1 mm; S/F: 0,1 kN/mm (§7.1–7.4).</t>
        </is>
      </c>
    </row>
    <row r="14" ht="32" customHeight="1">
      <c r="A14" t="inlineStr">
        <is>
          <t>Tangente automática</t>
        </is>
      </c>
      <c r="B14" s="24" t="inlineStr">
        <is>
          <t>Estimación numérica local en la rama ascendente. Revisar sobre la curva; la norma no prescribe este algoritmo.</t>
        </is>
      </c>
    </row>
    <row r="15" ht="32" customHeight="1">
      <c r="A15" t="inlineStr">
        <is>
          <t>Alcance</t>
        </is>
      </c>
      <c r="B15" s="24" t="inlineStr">
        <is>
          <t>Datos de una probeta. No certifica por sí solo calibración, velocidad, temperatura o validez de un grupo de cuatro probetas.</t>
        </is>
      </c>
    </row>
    <row r="16" ht="32" customHeight="1">
      <c r="A16" t="inlineStr">
        <is>
          <t>Procesado</t>
        </is>
      </c>
      <c r="B16" s="24" t="inlineStr">
        <is>
          <t>Media de 10 lecturas por punto; último bloque parcial incluido</t>
        </is>
      </c>
    </row>
    <row r="17" ht="32" customHeight="1">
      <c r="A17" t="inlineStr">
        <is>
          <t>Número de puntos dibujados y exportados</t>
        </is>
      </c>
      <c r="B17" s="24" t="n">
        <v>145</v>
      </c>
    </row>
    <row r="18" ht="32" customHeight="1">
      <c r="A18" t="inlineStr">
        <is>
          <t>Complementario histórico, fuera de UNE</t>
        </is>
      </c>
      <c r="B18" s="24" t="inlineStr">
        <is>
          <t>Los valores d50/d95 del VBA antiguo se conservan solo como información auxiliar.</t>
        </is>
      </c>
    </row>
    <row r="19" ht="32" customHeight="1">
      <c r="A19" t="inlineStr">
        <is>
          <t>d50 (mm)</t>
        </is>
      </c>
      <c r="B19" s="24" t="n">
        <v>2.18</v>
      </c>
    </row>
    <row r="20" ht="32" customHeight="1">
      <c r="A20" t="inlineStr">
        <is>
          <t>d95 (mm)</t>
        </is>
      </c>
      <c r="B20" s="24" t="n">
        <v>3.54</v>
      </c>
    </row>
    <row r="21" ht="32" customHeight="1">
      <c r="A21" t="inlineStr">
        <is>
          <t>d95 − d50 (mm)</t>
        </is>
      </c>
      <c r="B21" s="24" t="n">
        <v>1.36</v>
      </c>
    </row>
  </sheetData>
  <hyperlinks>
    <hyperlink xmlns:r="http://schemas.openxmlformats.org/officeDocument/2006/relationships" ref="B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25" t="inlineStr">
        <is>
          <t>Campo</t>
        </is>
      </c>
      <c r="B1" s="25" t="inlineStr">
        <is>
          <t>Valor</t>
        </is>
      </c>
    </row>
    <row r="2">
      <c r="A2" t="inlineStr">
        <is>
          <t>reference</t>
        </is>
      </c>
      <c r="B2" t="inlineStr">
        <is>
          <t>ensayo_20261015_163054</t>
        </is>
      </c>
    </row>
    <row r="3">
      <c r="A3" t="inlineStr">
        <is>
          <t>operator</t>
        </is>
      </c>
      <c r="B3" t="inlineStr"/>
    </row>
    <row r="4">
      <c r="A4" t="inlineStr">
        <is>
          <t>sample_id</t>
        </is>
      </c>
      <c r="B4" t="inlineStr"/>
    </row>
    <row r="5">
      <c r="A5" t="inlineStr">
        <is>
          <t>notes</t>
        </is>
      </c>
      <c r="B5" t="inlineStr"/>
    </row>
    <row r="6">
      <c r="A6" t="inlineStr">
        <is>
          <t>demo</t>
        </is>
      </c>
      <c r="B6" t="inlineStr">
        <is>
          <t>False</t>
        </is>
      </c>
    </row>
    <row r="7">
      <c r="A7" t="inlineStr">
        <is>
          <t>source</t>
        </is>
      </c>
      <c r="B7" t="inlineStr">
        <is>
          <t>Adquisición</t>
        </is>
      </c>
    </row>
    <row r="8">
      <c r="A8" t="inlineStr">
        <is>
          <t>Fecha adquisición</t>
        </is>
      </c>
      <c r="B8" t="inlineStr">
        <is>
          <t>2026-10-15T14:32:36+00:00</t>
        </is>
      </c>
    </row>
    <row r="9">
      <c r="A9" t="inlineStr">
        <is>
          <t>ID ensayo</t>
        </is>
      </c>
      <c r="B9" t="inlineStr">
        <is>
          <t>6dba5474-c2fc-4289-8981-f90f124e5c55</t>
        </is>
      </c>
    </row>
    <row r="10">
      <c r="A10" t="inlineStr">
        <is>
          <t>device_description</t>
        </is>
      </c>
      <c r="B10" t="inlineStr">
        <is>
          <t>USB-4716,BID#0</t>
        </is>
      </c>
    </row>
    <row r="11">
      <c r="A11" t="inlineStr">
        <is>
          <t>logo_path</t>
        </is>
      </c>
      <c r="B11" t="inlineStr">
        <is>
          <t>assets/uc_logo_2024.png</t>
        </is>
      </c>
    </row>
    <row r="12">
      <c r="A12" t="inlineStr">
        <is>
          <t>input_mode</t>
        </is>
      </c>
      <c r="B12" t="inlineStr">
        <is>
          <t>Differential</t>
        </is>
      </c>
    </row>
    <row r="13">
      <c r="A13" t="inlineStr">
        <is>
          <t>input_range</t>
        </is>
      </c>
      <c r="B13" t="inlineStr">
        <is>
          <t>V_Neg5To5</t>
        </is>
      </c>
    </row>
    <row r="14">
      <c r="A14" t="inlineStr">
        <is>
          <t>force_channel</t>
        </is>
      </c>
      <c r="B14" t="inlineStr">
        <is>
          <t>0</t>
        </is>
      </c>
    </row>
    <row r="15">
      <c r="A15" t="inlineStr">
        <is>
          <t>deformation_channel</t>
        </is>
      </c>
      <c r="B15" t="inlineStr">
        <is>
          <t>2</t>
        </is>
      </c>
    </row>
    <row r="16">
      <c r="A16" t="inlineStr">
        <is>
          <t>force_factor_kp_per_v</t>
        </is>
      </c>
      <c r="B16" t="inlineStr">
        <is>
          <t>-1952.391617269545</t>
        </is>
      </c>
    </row>
    <row r="17">
      <c r="A17" t="inlineStr">
        <is>
          <t>force_offset_kp</t>
        </is>
      </c>
      <c r="B17" t="inlineStr">
        <is>
          <t>-305.3591015169195</t>
        </is>
      </c>
    </row>
    <row r="18">
      <c r="A18" t="inlineStr">
        <is>
          <t>deformation_factor_mm_per_v</t>
        </is>
      </c>
      <c r="B18" t="inlineStr">
        <is>
          <t>2.643095</t>
        </is>
      </c>
    </row>
    <row r="19">
      <c r="A19" t="inlineStr">
        <is>
          <t>deformation_offset_mm</t>
        </is>
      </c>
      <c r="B19" t="inlineStr">
        <is>
          <t>0.0</t>
        </is>
      </c>
    </row>
    <row r="20">
      <c r="A20" t="inlineStr">
        <is>
          <t>sample_hz</t>
        </is>
      </c>
      <c r="B20" t="inlineStr">
        <is>
          <t>100.0</t>
        </is>
      </c>
    </row>
    <row r="21">
      <c r="A21" t="inlineStr">
        <is>
          <t>display_average_samples</t>
        </is>
      </c>
      <c r="B21" t="inlineStr">
        <is>
          <t>10</t>
        </is>
      </c>
    </row>
    <row r="22">
      <c r="A22" t="inlineStr">
        <is>
          <t>tare_samples</t>
        </is>
      </c>
      <c r="B22" t="inlineStr">
        <is>
          <t>100</t>
        </is>
      </c>
    </row>
    <row r="23">
      <c r="A23" t="inlineStr">
        <is>
          <t>saturation_voltage</t>
        </is>
      </c>
      <c r="B23" t="inlineStr">
        <is>
          <t>4.95</t>
        </is>
      </c>
    </row>
    <row r="24">
      <c r="A24" t="inlineStr">
        <is>
          <t>output_directory</t>
        </is>
      </c>
      <c r="B24" t="inlineStr">
        <is>
          <t>ensayos</t>
        </is>
      </c>
    </row>
    <row r="25">
      <c r="A25" t="inlineStr">
        <is>
          <t>display_unit</t>
        </is>
      </c>
      <c r="B25" t="inlineStr">
        <is>
          <t>kp</t>
        </is>
      </c>
    </row>
    <row r="26">
      <c r="A26" t="inlineStr">
        <is>
          <t>specimen_area_mm2</t>
        </is>
      </c>
      <c r="B26" t="inlineStr">
        <is>
          <t>0.0</t>
        </is>
      </c>
    </row>
    <row r="27">
      <c r="A27" t="inlineStr">
        <is>
          <t>pinout</t>
        </is>
      </c>
      <c r="B27" t="inlineStr">
        <is>
          <t>{"legacy_force_high": 1, "legacy_force_low": 20, "legacy_deformation_high": 2, "legacy_deformation_low": 21, "usb_force_plus": 0, "usb_force_minus": 1, "usb_deformation_plus": 2, "usb_deformation_minus": 3}</t>
        </is>
      </c>
    </row>
    <row r="28">
      <c r="A28" t="inlineStr">
        <is>
          <t>calibration_history</t>
        </is>
      </c>
      <c r="B28" t="inlineStr">
        <is>
          <t>[{"date": "2026-10-09T10:17:03.688304", "method": "ring_zero_and_1mm", "demo": false, "force_at_1mm_kp": 1787.17, "deformation_reference_mm": 1.0, "zero": {"t": 30375.5162564, "vf": -0.156402587890625, "vd": -2.25128173828125, "sigma_f": 0.0009450560760200701, "sigma_d": 0.004310150880151899, "demo": false, "captured_at": "2026-10-09T10:10:30.956124"}, "one_mm": {"t": 30764.1641839, "vf": -1.07177734375, "vd": -1.471710205078125, "sigma_f": 0.0013195682322619052, "sigma_d": 0.004857017776580997, "demo": false, "captured_at": "2026-10-09T10:16:59.602752"}, "force_fit": {"factor": -1952.391617269545, "offset": -305.3591015169195, "r2": 1.0, "max_error": 0.0, "residuals": [0.0, 0.0]}, "deformation_fit": {"factor": 1.28275592092386, "offset": 2.887844979448033, "r2": 1.0, "max_error": 2.220446049250313e-16, "residuals": [0.0, -2.220446049250313e-16]}}, {"date": "2026-10-15T10:15:09.068578+02:00", "method": "restore_previous_deformation", "sensor": "Deformación (mm)", "source": "git HEAD:config.json", "previous_calibration": {"deformation_factor_mm_per_v": 1.28275592092386, "deformation_offset_mm": 2.887844979448033}, "restored_calibration": {"deformation_factor_mm_per_v": 2.643095, "deformation_offset_mm": 0.0}}]</t>
        </is>
      </c>
    </row>
    <row r="29">
      <c r="A29" t="inlineStr">
        <is>
          <t>stable_zero</t>
        </is>
      </c>
      <c r="B29" t="inlineStr">
        <is>
          <t>{"enabled": false, "noise_sigma_multiplier": 5, "confirmation_seconds": 0.3}</t>
        </is>
      </c>
    </row>
    <row r="30">
      <c r="A30" t="inlineStr">
        <is>
          <t>display_processing</t>
        </is>
      </c>
      <c r="B30" t="inlineStr">
        <is>
          <t>Kalman</t>
        </is>
      </c>
    </row>
    <row r="31">
      <c r="A31" t="inlineStr">
        <is>
          <t>deformation_processing</t>
        </is>
      </c>
      <c r="B31" t="inlineStr">
        <is>
          <t>filtered_running_max_deadband_0.02mm_fixed_tare</t>
        </is>
      </c>
    </row>
    <row r="32">
      <c r="A32" t="inlineStr">
        <is>
          <t>legacy_processing</t>
        </is>
      </c>
      <c r="B32" t="inlineStr">
        <is>
          <t>{"block_samples": 10, "tare_samples": 100, "export_held_samples": 10, "truncation": "floor"}</t>
        </is>
      </c>
    </row>
    <row r="33">
      <c r="A33" t="inlineStr">
        <is>
          <t>tare_statistics</t>
        </is>
      </c>
      <c r="B33" t="inlineStr">
        <is>
          <t>{"stability": {"method": "trimmed_mean_10_percent_each_tail", "samples": 100, "duration_s": 1.0140266000526026, "channels": [{"mean_v": -0.15477752685546875, "std_v": 0.0009853313726686669, "drift_v": 0.0005376906622023836}, {"mean_v": 0.17832565307617188, "std_v": 0.004833273333739006, "drift_v": 0.001344226655505959}]}, "method": "legacy_mean_100", "samples": 100, "duration_s": 1.0140266000526026, "channels": [{"mean_v": -0.15481414794921874}, {"mean_v": 0.17857513427734376}]}</t>
        </is>
      </c>
    </row>
    <row r="34">
      <c r="A34" t="inlineStr">
        <is>
          <t>zero_force_v</t>
        </is>
      </c>
      <c r="B34" t="inlineStr">
        <is>
          <t>0.0015884399414062556</t>
        </is>
      </c>
    </row>
    <row r="35">
      <c r="A35" t="inlineStr">
        <is>
          <t>zero_deform_v</t>
        </is>
      </c>
      <c r="B35" t="inlineStr">
        <is>
          <t>0.17857513427734376</t>
        </is>
      </c>
    </row>
    <row r="36">
      <c r="A36" t="inlineStr">
        <is>
          <t>rupture_estimate</t>
        </is>
      </c>
      <c r="B36" t="inlineStr">
        <is>
          <t>{"index": 1079, "t": 12.794509699917398, "confirmed_at": 13.956384499906562, "force_kp": 1714.3277035005835, "drop_kp": 171.30198728121354, "method": "mean_1s_drop_10pct_6sigma_0.5s"}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2026-10-15T15:27:52Z</dcterms:created>
  <dcterms:modified xsi:type="dcterms:W3CDTF">2026-10-15T15:27:52Z</dcterms:modified>
</cp:coreProperties>
</file>