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sultados Marshall" sheetId="1" state="visible" r:id="rId1"/>
    <sheet name="Gráfico Marshall" sheetId="2" state="visible" r:id="rId2"/>
    <sheet name="Configuración" sheetId="3" state="visible" r:id="rId3"/>
  </sheets>
  <definedNames>
    <definedName name="_xlnm.Print_Area" localSheetId="1">'Gráfico Marshall'!$A$1:$N$43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4505B"/>
      <sz val="15"/>
    </font>
    <font>
      <color rgb="0055636B"/>
      <sz val="10"/>
    </font>
    <font>
      <i val="1"/>
      <color rgb="0055636B"/>
      <sz val="10"/>
    </font>
  </fonts>
  <fills count="4">
    <fill>
      <patternFill/>
    </fill>
    <fill>
      <patternFill patternType="gray125"/>
    </fill>
    <fill>
      <patternFill patternType="solid">
        <fgColor rgb="0014505B"/>
      </patternFill>
    </fill>
    <fill>
      <patternFill patternType="solid">
        <fgColor rgb="00115E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Fuerza–deformación y tangente</a:t>
            </a:r>
          </a:p>
        </rich>
      </tx>
    </title>
    <plotArea>
      <scatterChart>
        <scatterStyle val="line"/>
        <ser>
          <idx val="0"/>
          <order val="0"/>
          <tx>
            <v>Ensayo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Marshall'!$A$2:$A$149</f>
            </numRef>
          </xVal>
          <yVal>
            <numRef>
              <f>'Resultados Marshall'!$B$2:$B$149</f>
            </numRef>
          </yVal>
        </ser>
        <ser>
          <idx val="1"/>
          <order val="1"/>
          <tx>
            <v>Desde carga máxima</v>
          </tx>
          <spPr>
            <a:ln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Marshall'!$A$100:$A$149</f>
            </numRef>
          </xVal>
          <yVal>
            <numRef>
              <f>'Resultados Marshall'!$B$100:$B$149</f>
            </numRef>
          </yVal>
        </ser>
        <ser>
          <idx val="2"/>
          <order val="2"/>
          <tx>
            <v>Tangente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Marshall'!$G$17:$G$18</f>
            </numRef>
          </xVal>
          <yVal>
            <numRef>
              <f>'Resultados Marshall'!$H$17:$H$18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b"/>
        <majorGridlines/>
        <title>
          <tx>
            <rich>
              <a:bodyPr/>
              <a:p>
                <a:pPr>
                  <a:defRPr/>
                </a:pPr>
                <a:r>
                  <a:t>Deformación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Fuerza (kp)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46" customWidth="1" min="7" max="7"/>
    <col width="46" customWidth="1" min="8" max="8"/>
  </cols>
  <sheetData>
    <row r="1" ht="34" customHeight="1">
      <c r="A1" s="1" t="inlineStr">
        <is>
          <t>Deformación (mm)</t>
        </is>
      </c>
      <c r="B1" s="1" t="inlineStr">
        <is>
          <t>Carga (kp)</t>
        </is>
      </c>
      <c r="C1" s="1" t="inlineStr">
        <is>
          <t>Tiempo (s)</t>
        </is>
      </c>
      <c r="D1" s="1" t="inlineStr">
        <is>
          <t>Diferencia carga (kp)</t>
        </is>
      </c>
      <c r="E1" s="1" t="inlineStr">
        <is>
          <t>Media de 5 diferencias (kp)</t>
        </is>
      </c>
      <c r="F1" s="1" t="inlineStr">
        <is>
          <t>Lecturas por punto</t>
        </is>
      </c>
      <c r="G1" s="1" t="inlineStr">
        <is>
          <t>Resultado</t>
        </is>
      </c>
      <c r="H1" s="1" t="inlineStr">
        <is>
          <t>Valor calculado</t>
        </is>
      </c>
    </row>
    <row r="2">
      <c r="A2" s="2" t="n">
        <v>0</v>
      </c>
      <c r="B2" s="2" t="n">
        <v>0.868979995727528</v>
      </c>
      <c r="C2" s="2" t="n">
        <v>0.1087031000060961</v>
      </c>
      <c r="F2" s="2" t="n">
        <v>10</v>
      </c>
      <c r="G2" t="inlineStr">
        <is>
          <t>Estabilidad máxima (kp)</t>
        </is>
      </c>
      <c r="H2" s="2" t="n">
        <v>1991.795362594604</v>
      </c>
    </row>
    <row r="3">
      <c r="A3" s="2" t="n">
        <v>0</v>
      </c>
      <c r="B3" s="2" t="n">
        <v>0.7186374359130749</v>
      </c>
      <c r="C3" s="2" t="n">
        <v>0.2173451000126079</v>
      </c>
      <c r="D3" s="2" t="n">
        <v>-0.1503425598144531</v>
      </c>
      <c r="F3" s="2" t="n">
        <v>10</v>
      </c>
      <c r="G3" t="inlineStr">
        <is>
          <t>95 % de estabilidad (kp)</t>
        </is>
      </c>
      <c r="H3" s="2" t="n">
        <v>1892</v>
      </c>
    </row>
    <row r="4">
      <c r="A4" s="2" t="n">
        <v>0</v>
      </c>
      <c r="B4" s="2" t="n">
        <v>1.771035354614247</v>
      </c>
      <c r="C4" s="2" t="n">
        <v>0.341808500001207</v>
      </c>
      <c r="D4" s="2" t="n">
        <v>1.052397918701172</v>
      </c>
      <c r="F4" s="2" t="n">
        <v>10</v>
      </c>
      <c r="G4" t="inlineStr">
        <is>
          <t>Deformación a 50 kp (mm)</t>
        </is>
      </c>
      <c r="H4" s="2" t="n">
        <v>0.2</v>
      </c>
    </row>
    <row r="5">
      <c r="A5" s="2" t="n">
        <v>0</v>
      </c>
      <c r="B5" s="2" t="n">
        <v>0.2676097564697156</v>
      </c>
      <c r="C5" s="2" t="n">
        <v>0.4356278999475762</v>
      </c>
      <c r="D5" s="2" t="n">
        <v>-1.503425598144531</v>
      </c>
      <c r="E5" s="2" t="n">
        <v>0.06013702392578122</v>
      </c>
      <c r="F5" s="2" t="n">
        <v>10</v>
      </c>
      <c r="G5" t="inlineStr">
        <is>
          <t>Deformación al 95 % (mm)</t>
        </is>
      </c>
      <c r="H5" s="2" t="n">
        <v>1.42</v>
      </c>
    </row>
    <row r="6">
      <c r="A6" s="2" t="n">
        <v>0</v>
      </c>
      <c r="B6" s="2" t="n">
        <v>1.470350234985341</v>
      </c>
      <c r="C6" s="2" t="n">
        <v>0.5432427000487223</v>
      </c>
      <c r="D6" s="2" t="n">
        <v>1.202740478515625</v>
      </c>
      <c r="E6" s="2" t="n">
        <v>0.2104795837402343</v>
      </c>
      <c r="F6" s="2" t="n">
        <v>10</v>
      </c>
      <c r="G6" t="inlineStr">
        <is>
          <t>Deformación Marshall: d95 − d50 (mm)</t>
        </is>
      </c>
      <c r="H6" s="2" t="n">
        <v>1.22</v>
      </c>
    </row>
    <row r="7">
      <c r="A7" s="2" t="n">
        <v>0</v>
      </c>
      <c r="B7" s="2" t="n">
        <v>1.169665115356434</v>
      </c>
      <c r="C7" s="2" t="n">
        <v>0.6527953000040725</v>
      </c>
      <c r="D7" s="2" t="n">
        <v>-0.3006851196289062</v>
      </c>
      <c r="E7" s="2" t="n">
        <v>-0.3542070709228494</v>
      </c>
      <c r="F7" s="2" t="n">
        <v>10</v>
      </c>
      <c r="G7" t="inlineStr">
        <is>
          <t>Pendiente tangente (kp/mm)</t>
        </is>
      </c>
      <c r="H7" s="2" t="n">
        <v>2063.228813815293</v>
      </c>
    </row>
    <row r="8">
      <c r="A8" s="2" t="n">
        <v>0</v>
      </c>
      <c r="B8" s="2" t="n">
        <v>1.771035354614247</v>
      </c>
      <c r="C8" s="2" t="n">
        <v>0.7600900999968871</v>
      </c>
      <c r="D8" s="2" t="n">
        <v>0.6013702392578124</v>
      </c>
      <c r="E8" s="2" t="n">
        <v>0.1804110717773437</v>
      </c>
      <c r="F8" s="2" t="n">
        <v>10</v>
      </c>
      <c r="G8" t="inlineStr">
        <is>
          <t>Cero de la tangente (mm)</t>
        </is>
      </c>
      <c r="H8" s="2" t="n">
        <v>0.2010793844033587</v>
      </c>
    </row>
    <row r="9">
      <c r="A9" s="2" t="n">
        <v>0</v>
      </c>
      <c r="B9" s="2" t="n">
        <v>0</v>
      </c>
      <c r="C9" s="2" t="n">
        <v>0.8693664000602439</v>
      </c>
      <c r="D9" s="2" t="n">
        <v>-1.771035354614247</v>
      </c>
      <c r="E9" s="2" t="n">
        <v>-0.06013702392578128</v>
      </c>
      <c r="F9" s="2" t="n">
        <v>10</v>
      </c>
      <c r="G9" t="inlineStr">
        <is>
          <t>Deformación al máximo (mm)</t>
        </is>
      </c>
      <c r="H9" s="2" t="n">
        <v>1.776285186973572</v>
      </c>
    </row>
    <row r="10">
      <c r="A10" s="2" t="n">
        <v>0</v>
      </c>
      <c r="B10" s="2" t="n">
        <v>1.169665115356434</v>
      </c>
      <c r="C10" s="2" t="n">
        <v>0.9616945000598207</v>
      </c>
      <c r="D10" s="2" t="n">
        <v>1.169665115356434</v>
      </c>
      <c r="E10" s="2" t="n">
        <v>0.3006851196289063</v>
      </c>
      <c r="F10" s="2" t="n">
        <v>10</v>
      </c>
      <c r="G10" t="inlineStr">
        <is>
          <t>Deformación corregida: dmáx − cero (mm)</t>
        </is>
      </c>
      <c r="H10" s="2" t="n">
        <v>1.57</v>
      </c>
    </row>
    <row r="11">
      <c r="A11" s="2" t="n">
        <v>0</v>
      </c>
      <c r="B11" s="2" t="n">
        <v>1.169665115356434</v>
      </c>
      <c r="C11" s="2" t="n">
        <v>1.071324500022456</v>
      </c>
      <c r="D11" s="2" t="n">
        <v>-2.220446049250313e-16</v>
      </c>
      <c r="E11" s="2" t="n">
        <v>0.1804110717773438</v>
      </c>
      <c r="F11" s="2" t="n">
        <v>10</v>
      </c>
    </row>
    <row r="12">
      <c r="A12" s="2" t="n">
        <v>0</v>
      </c>
      <c r="B12" s="2" t="n">
        <v>2.673090713500966</v>
      </c>
      <c r="C12" s="2" t="n">
        <v>1.196658800006844</v>
      </c>
      <c r="D12" s="2" t="n">
        <v>1.503425598144531</v>
      </c>
      <c r="E12" s="2" t="n">
        <v>0.1737959991455056</v>
      </c>
      <c r="F12" s="2" t="n">
        <v>10</v>
      </c>
    </row>
    <row r="13" ht="44" customHeight="1">
      <c r="A13" s="2" t="n">
        <v>0</v>
      </c>
      <c r="B13" s="2" t="n">
        <v>2.673090713500966</v>
      </c>
      <c r="C13" s="2" t="n">
        <v>1.289595999987796</v>
      </c>
      <c r="D13" s="2" t="n">
        <v>0</v>
      </c>
      <c r="E13" s="2" t="n">
        <v>-0.06013702392578128</v>
      </c>
      <c r="F13" s="2" t="n">
        <v>10</v>
      </c>
      <c r="G13" t="inlineStr">
        <is>
          <t>Método</t>
        </is>
      </c>
      <c r="H13" s="3" t="inlineStr">
        <is>
          <t>VBA original: diferencias de 5 puntos, tangente i±2, d50 y d95 interpoladas</t>
        </is>
      </c>
    </row>
    <row r="14" ht="44" customHeight="1">
      <c r="A14" s="2" t="n">
        <v>0</v>
      </c>
      <c r="B14" s="2" t="n">
        <v>0.868979995727528</v>
      </c>
      <c r="C14" s="2" t="n">
        <v>1.422657100018114</v>
      </c>
      <c r="D14" s="2" t="n">
        <v>-1.804110717773438</v>
      </c>
      <c r="E14" s="2" t="n">
        <v>0.03006851196289067</v>
      </c>
      <c r="F14" s="2" t="n">
        <v>10</v>
      </c>
      <c r="G14" t="inlineStr">
        <is>
          <t>Preparación</t>
        </is>
      </c>
      <c r="H14" s="3" t="inlineStr">
        <is>
          <t>Media de 10 lecturas por punto; último bloque parcial incluido</t>
        </is>
      </c>
    </row>
    <row r="15">
      <c r="A15" s="2" t="n">
        <v>0</v>
      </c>
      <c r="B15" s="2" t="n">
        <v>0.868979995727528</v>
      </c>
      <c r="C15" s="2" t="n">
        <v>1.523413200047798</v>
      </c>
      <c r="D15" s="2" t="n">
        <v>0</v>
      </c>
      <c r="E15" s="2" t="n">
        <v>-0.4209591674804688</v>
      </c>
      <c r="F15" s="2" t="n">
        <v>10</v>
      </c>
    </row>
    <row r="16">
      <c r="A16" s="2" t="n">
        <v>0</v>
      </c>
      <c r="B16" s="2" t="n">
        <v>1.320007675170888</v>
      </c>
      <c r="C16" s="2" t="n">
        <v>1.631080299965106</v>
      </c>
      <c r="D16" s="2" t="n">
        <v>0.4510276794433595</v>
      </c>
      <c r="E16" s="2" t="n">
        <v>-0.06013702392578133</v>
      </c>
      <c r="F16" s="2" t="n">
        <v>10</v>
      </c>
      <c r="G16" t="inlineStr">
        <is>
          <t>Tangente: deformación (mm)</t>
        </is>
      </c>
      <c r="H16" t="inlineStr">
        <is>
          <t>Tangente: carga (kp)</t>
        </is>
      </c>
    </row>
    <row r="17">
      <c r="A17" s="2" t="n">
        <v>0</v>
      </c>
      <c r="B17" s="2" t="n">
        <v>0.5682948760986218</v>
      </c>
      <c r="C17" s="2" t="n">
        <v>1.754591400036588</v>
      </c>
      <c r="D17" s="2" t="n">
        <v>-0.7517127990722657</v>
      </c>
      <c r="E17" s="2" t="n">
        <v>0.1202740478515625</v>
      </c>
      <c r="F17" s="2" t="n">
        <v>10</v>
      </c>
      <c r="G17" s="2" t="n">
        <v>0.2010793844033587</v>
      </c>
      <c r="H17" s="2" t="n">
        <v>0</v>
      </c>
    </row>
    <row r="18">
      <c r="A18" s="2" t="n">
        <v>0</v>
      </c>
      <c r="B18" s="2" t="n">
        <v>2.372405593872059</v>
      </c>
      <c r="C18" s="2" t="n">
        <v>1.852519799955189</v>
      </c>
      <c r="D18" s="2" t="n">
        <v>1.804110717773437</v>
      </c>
      <c r="E18" s="2" t="n">
        <v>0.1804110717773437</v>
      </c>
      <c r="F18" s="2" t="n">
        <v>10</v>
      </c>
      <c r="G18" s="2" t="n">
        <v>1.166457218048191</v>
      </c>
      <c r="H18" s="2" t="n">
        <v>1991.795362594604</v>
      </c>
    </row>
    <row r="19">
      <c r="A19" s="2" t="n">
        <v>0</v>
      </c>
      <c r="B19" s="2" t="n">
        <v>1.470350234985341</v>
      </c>
      <c r="C19" s="2" t="n">
        <v>1.963207400054671</v>
      </c>
      <c r="D19" s="2" t="n">
        <v>-0.9020553588867186</v>
      </c>
      <c r="E19" s="2" t="n">
        <v>-0.2104795837402344</v>
      </c>
      <c r="F19" s="2" t="n">
        <v>10</v>
      </c>
    </row>
    <row r="20">
      <c r="A20" s="2" t="n">
        <v>0</v>
      </c>
      <c r="B20" s="2" t="n">
        <v>1.771035354614247</v>
      </c>
      <c r="C20" s="2" t="n">
        <v>2.069694699952379</v>
      </c>
      <c r="D20" s="2" t="n">
        <v>0.3006851196289062</v>
      </c>
      <c r="E20" s="2" t="n">
        <v>-0.1136589752197244</v>
      </c>
      <c r="F20" s="2" t="n">
        <v>10</v>
      </c>
    </row>
    <row r="21">
      <c r="A21" s="2" t="n">
        <v>0</v>
      </c>
      <c r="B21" s="2" t="n">
        <v>0.2676097564697156</v>
      </c>
      <c r="C21" s="2" t="n">
        <v>2.178571299999021</v>
      </c>
      <c r="D21" s="2" t="n">
        <v>-1.503425598144531</v>
      </c>
      <c r="E21" s="2" t="n">
        <v>-0.240548095703125</v>
      </c>
      <c r="F21" s="2" t="n">
        <v>10</v>
      </c>
    </row>
    <row r="22">
      <c r="A22" s="2" t="n">
        <v>0</v>
      </c>
      <c r="B22" s="2" t="n">
        <v>0</v>
      </c>
      <c r="C22" s="2" t="n">
        <v>2.288288800045848</v>
      </c>
      <c r="D22" s="2" t="n">
        <v>-0.2676097564697156</v>
      </c>
      <c r="E22" s="2" t="n">
        <v>-0.2940700469970682</v>
      </c>
      <c r="F22" s="2" t="n">
        <v>10</v>
      </c>
    </row>
    <row r="23">
      <c r="A23" s="2" t="n">
        <v>0</v>
      </c>
      <c r="B23" s="2" t="n">
        <v>1.169665115356434</v>
      </c>
      <c r="C23" s="2" t="n">
        <v>2.380043199984357</v>
      </c>
      <c r="D23" s="2" t="n">
        <v>1.169665115356434</v>
      </c>
      <c r="E23" s="2" t="n">
        <v>0.2706166076660156</v>
      </c>
      <c r="F23" s="2" t="n">
        <v>10</v>
      </c>
    </row>
    <row r="24">
      <c r="A24" s="2" t="n">
        <v>0</v>
      </c>
      <c r="B24" s="2" t="n">
        <v>0</v>
      </c>
      <c r="C24" s="2" t="n">
        <v>2.490097500034608</v>
      </c>
      <c r="D24" s="2" t="n">
        <v>-1.169665115356434</v>
      </c>
      <c r="E24" s="2" t="n">
        <v>0.06013702392578126</v>
      </c>
      <c r="F24" s="2" t="n">
        <v>10</v>
      </c>
    </row>
    <row r="25">
      <c r="A25" s="2" t="n">
        <v>0</v>
      </c>
      <c r="B25" s="2" t="n">
        <v>3.124118392944325</v>
      </c>
      <c r="C25" s="2" t="n">
        <v>2.598591199959628</v>
      </c>
      <c r="D25" s="2" t="n">
        <v>3.124118392944325</v>
      </c>
      <c r="E25" s="2" t="n">
        <v>2.220446049250313e-17</v>
      </c>
      <c r="F25" s="2" t="n">
        <v>10</v>
      </c>
    </row>
    <row r="26">
      <c r="A26" s="2" t="n">
        <v>0</v>
      </c>
      <c r="B26" s="2" t="n">
        <v>0.5682948760986218</v>
      </c>
      <c r="C26" s="2" t="n">
        <v>2.707413700059988</v>
      </c>
      <c r="D26" s="2" t="n">
        <v>-2.555823516845703</v>
      </c>
      <c r="E26" s="2" t="n">
        <v>-0.2339330230712869</v>
      </c>
      <c r="F26" s="2" t="n">
        <v>10</v>
      </c>
    </row>
    <row r="27">
      <c r="A27" s="2" t="n">
        <v>0</v>
      </c>
      <c r="B27" s="2" t="n">
        <v>0</v>
      </c>
      <c r="C27" s="2" t="n">
        <v>2.832114199991338</v>
      </c>
      <c r="D27" s="2" t="n">
        <v>-0.5682948760986218</v>
      </c>
      <c r="E27" s="2" t="n">
        <v>0.1737959991455056</v>
      </c>
      <c r="F27" s="2" t="n">
        <v>10</v>
      </c>
    </row>
    <row r="28">
      <c r="A28" s="2" t="n">
        <v>0</v>
      </c>
      <c r="B28" s="2" t="n">
        <v>0</v>
      </c>
      <c r="C28" s="2" t="n">
        <v>2.925201299949549</v>
      </c>
      <c r="D28" s="2" t="n">
        <v>0</v>
      </c>
      <c r="E28" s="2" t="n">
        <v>-0.1804110717773437</v>
      </c>
      <c r="F28" s="2" t="n">
        <v>10</v>
      </c>
    </row>
    <row r="29">
      <c r="A29" s="2" t="n">
        <v>0</v>
      </c>
      <c r="B29" s="2" t="n">
        <v>0.868979995727528</v>
      </c>
      <c r="C29" s="2" t="n">
        <v>3.03490770002827</v>
      </c>
      <c r="D29" s="2" t="n">
        <v>0.868979995727528</v>
      </c>
      <c r="E29" s="2" t="n">
        <v>-0.1136589752197243</v>
      </c>
      <c r="F29" s="2" t="n">
        <v>10</v>
      </c>
    </row>
    <row r="30">
      <c r="A30" s="2" t="n">
        <v>0</v>
      </c>
      <c r="B30" s="2" t="n">
        <v>2.222063034057606</v>
      </c>
      <c r="C30" s="2" t="n">
        <v>3.16027390002273</v>
      </c>
      <c r="D30" s="2" t="n">
        <v>1.353083038330078</v>
      </c>
      <c r="E30" s="2" t="n">
        <v>0.08359046325683377</v>
      </c>
      <c r="F30" s="2" t="n">
        <v>10</v>
      </c>
    </row>
    <row r="31">
      <c r="A31" s="2" t="n">
        <v>0</v>
      </c>
      <c r="B31" s="2" t="n">
        <v>0</v>
      </c>
      <c r="C31" s="2" t="n">
        <v>3.268647699966095</v>
      </c>
      <c r="D31" s="2" t="n">
        <v>-2.222063034057606</v>
      </c>
      <c r="E31" s="2" t="n">
        <v>0.1737959991455056</v>
      </c>
      <c r="F31" s="2" t="n">
        <v>10</v>
      </c>
    </row>
    <row r="32">
      <c r="A32" s="2" t="n">
        <v>0</v>
      </c>
      <c r="B32" s="2" t="n">
        <v>0.4179523162841687</v>
      </c>
      <c r="C32" s="2" t="n">
        <v>3.365384800010361</v>
      </c>
      <c r="D32" s="2" t="n">
        <v>0.4179523162841687</v>
      </c>
      <c r="E32" s="2" t="n">
        <v>0.2706166076660156</v>
      </c>
      <c r="F32" s="2" t="n">
        <v>10</v>
      </c>
    </row>
    <row r="33">
      <c r="A33" s="2" t="n">
        <v>0</v>
      </c>
      <c r="B33" s="2" t="n">
        <v>0.868979995727528</v>
      </c>
      <c r="C33" s="2" t="n">
        <v>3.486404999974184</v>
      </c>
      <c r="D33" s="2" t="n">
        <v>0.4510276794433593</v>
      </c>
      <c r="E33" s="2" t="n">
        <v>-0.4444126068115212</v>
      </c>
      <c r="F33" s="2" t="n">
        <v>10</v>
      </c>
    </row>
    <row r="34">
      <c r="A34" s="2" t="n">
        <v>0</v>
      </c>
      <c r="B34" s="2" t="n">
        <v>2.222063034057606</v>
      </c>
      <c r="C34" s="2" t="n">
        <v>3.580209100036882</v>
      </c>
      <c r="D34" s="2" t="n">
        <v>1.353083038330078</v>
      </c>
      <c r="E34" s="2" t="n">
        <v>0.1737959991455056</v>
      </c>
      <c r="F34" s="2" t="n">
        <v>10</v>
      </c>
    </row>
    <row r="35">
      <c r="A35" s="2" t="n">
        <v>0</v>
      </c>
      <c r="B35" s="2" t="n">
        <v>0</v>
      </c>
      <c r="C35" s="2" t="n">
        <v>3.690410700044595</v>
      </c>
      <c r="D35" s="2" t="n">
        <v>-2.222063034057606</v>
      </c>
      <c r="E35" s="2" t="n">
        <v>0.2706166076660156</v>
      </c>
      <c r="F35" s="2" t="n">
        <v>10</v>
      </c>
    </row>
    <row r="36">
      <c r="A36" s="2" t="n">
        <v>0</v>
      </c>
      <c r="B36" s="2" t="n">
        <v>0.868979995727528</v>
      </c>
      <c r="C36" s="2" t="n">
        <v>3.798895700019784</v>
      </c>
      <c r="D36" s="2" t="n">
        <v>0.868979995727528</v>
      </c>
      <c r="E36" s="2" t="n">
        <v>0.3006851196289063</v>
      </c>
      <c r="F36" s="2" t="n">
        <v>10</v>
      </c>
    </row>
    <row r="37">
      <c r="A37" s="2" t="n">
        <v>0</v>
      </c>
      <c r="B37" s="2" t="n">
        <v>1.771035354614247</v>
      </c>
      <c r="C37" s="2" t="n">
        <v>3.906977299950086</v>
      </c>
      <c r="D37" s="2" t="n">
        <v>0.9020553588867187</v>
      </c>
      <c r="E37" s="2" t="n">
        <v>-0.2465617980957031</v>
      </c>
      <c r="F37" s="2" t="n">
        <v>10</v>
      </c>
    </row>
    <row r="38">
      <c r="A38" s="2" t="n">
        <v>0</v>
      </c>
      <c r="B38" s="2" t="n">
        <v>2.372405593872059</v>
      </c>
      <c r="C38" s="2" t="n">
        <v>4.001202799961902</v>
      </c>
      <c r="D38" s="2" t="n">
        <v>0.6013702392578124</v>
      </c>
      <c r="E38" s="2" t="n">
        <v>0</v>
      </c>
      <c r="F38" s="2" t="n">
        <v>10</v>
      </c>
    </row>
    <row r="39">
      <c r="A39" s="2" t="n">
        <v>0</v>
      </c>
      <c r="B39" s="2" t="n">
        <v>0.9892540435790906</v>
      </c>
      <c r="C39" s="2" t="n">
        <v>4.1098600999685</v>
      </c>
      <c r="D39" s="2" t="n">
        <v>-1.383151550292969</v>
      </c>
      <c r="E39" s="2" t="n">
        <v>0.6013702392578125</v>
      </c>
      <c r="F39" s="2" t="n">
        <v>10</v>
      </c>
    </row>
    <row r="40">
      <c r="A40" s="2" t="n">
        <v>0</v>
      </c>
      <c r="B40" s="2" t="n">
        <v>0</v>
      </c>
      <c r="C40" s="2" t="n">
        <v>4.221079000039026</v>
      </c>
      <c r="D40" s="2" t="n">
        <v>-0.9892540435790906</v>
      </c>
      <c r="E40" s="2" t="n">
        <v>-0.3542070709228494</v>
      </c>
      <c r="F40" s="2" t="n">
        <v>10</v>
      </c>
    </row>
    <row r="41">
      <c r="A41" s="2" t="n">
        <v>0</v>
      </c>
      <c r="B41" s="2" t="n">
        <v>3.87583119201659</v>
      </c>
      <c r="C41" s="2" t="n">
        <v>4.341604599962011</v>
      </c>
      <c r="D41" s="2" t="n">
        <v>3.87583119201659</v>
      </c>
      <c r="E41" s="2" t="n">
        <v>-0.4744811187744118</v>
      </c>
      <c r="F41" s="2" t="n">
        <v>10</v>
      </c>
    </row>
    <row r="42">
      <c r="A42" s="2" t="n">
        <v>0</v>
      </c>
      <c r="B42" s="2" t="n">
        <v>0</v>
      </c>
      <c r="C42" s="2" t="n">
        <v>4.436701799975708</v>
      </c>
      <c r="D42" s="2" t="n">
        <v>-3.87583119201659</v>
      </c>
      <c r="E42" s="2" t="n">
        <v>0.1563562622070312</v>
      </c>
      <c r="F42" s="2" t="n">
        <v>10</v>
      </c>
    </row>
    <row r="43">
      <c r="A43" s="2" t="n">
        <v>0</v>
      </c>
      <c r="B43" s="2" t="n">
        <v>0</v>
      </c>
      <c r="C43" s="2" t="n">
        <v>4.559617700055242</v>
      </c>
      <c r="D43" s="2" t="n">
        <v>0</v>
      </c>
      <c r="E43" s="2" t="n">
        <v>0.8353032623290992</v>
      </c>
      <c r="F43" s="2" t="n">
        <v>10</v>
      </c>
    </row>
    <row r="44">
      <c r="A44" s="2" t="n">
        <v>0</v>
      </c>
      <c r="B44" s="2" t="n">
        <v>1.771035354614247</v>
      </c>
      <c r="C44" s="2" t="n">
        <v>4.667063500033692</v>
      </c>
      <c r="D44" s="2" t="n">
        <v>1.771035354614247</v>
      </c>
      <c r="E44" s="2" t="n">
        <v>-0.7751662384033181</v>
      </c>
      <c r="F44" s="2" t="n">
        <v>10</v>
      </c>
    </row>
    <row r="45">
      <c r="A45" s="2" t="n">
        <v>0</v>
      </c>
      <c r="B45" s="2" t="n">
        <v>4.176516311645496</v>
      </c>
      <c r="C45" s="2" t="n">
        <v>4.763017200049944</v>
      </c>
      <c r="D45" s="2" t="n">
        <v>2.40548095703125</v>
      </c>
      <c r="E45" s="2" t="n">
        <v>0</v>
      </c>
      <c r="F45" s="2" t="n">
        <v>10</v>
      </c>
    </row>
    <row r="46">
      <c r="A46" s="2" t="n">
        <v>0</v>
      </c>
      <c r="B46" s="2" t="n">
        <v>0</v>
      </c>
      <c r="C46" s="2" t="n">
        <v>4.870493900030851</v>
      </c>
      <c r="D46" s="2" t="n">
        <v>-4.176516311645496</v>
      </c>
      <c r="E46" s="2" t="n">
        <v>0.5045496307373025</v>
      </c>
      <c r="F46" s="2" t="n">
        <v>10</v>
      </c>
    </row>
    <row r="47">
      <c r="A47" s="2" t="n">
        <v>0</v>
      </c>
      <c r="B47" s="2" t="n">
        <v>0</v>
      </c>
      <c r="C47" s="2" t="n">
        <v>4.97919370001182</v>
      </c>
      <c r="D47" s="2" t="n">
        <v>0</v>
      </c>
      <c r="E47" s="2" t="n">
        <v>-0.3542070709228494</v>
      </c>
      <c r="F47" s="2" t="n">
        <v>10</v>
      </c>
    </row>
    <row r="48">
      <c r="A48" s="2" t="n">
        <v>0</v>
      </c>
      <c r="B48" s="2" t="n">
        <v>2.522748153686512</v>
      </c>
      <c r="C48" s="2" t="n">
        <v>5.103584900032729</v>
      </c>
      <c r="D48" s="2" t="n">
        <v>2.522748153686512</v>
      </c>
      <c r="E48" s="2" t="n">
        <v>-0.3908906555175781</v>
      </c>
      <c r="F48" s="2" t="n">
        <v>10</v>
      </c>
    </row>
    <row r="49">
      <c r="A49" s="2" t="n">
        <v>0</v>
      </c>
      <c r="B49" s="2" t="n">
        <v>0</v>
      </c>
      <c r="C49" s="2" t="n">
        <v>5.213288699975237</v>
      </c>
      <c r="D49" s="2" t="n">
        <v>-2.522748153686512</v>
      </c>
      <c r="E49" s="2" t="n">
        <v>0.2339330230712869</v>
      </c>
      <c r="F49" s="2" t="n">
        <v>10</v>
      </c>
    </row>
    <row r="50">
      <c r="A50" s="2" t="n">
        <v>0</v>
      </c>
      <c r="B50" s="2" t="n">
        <v>2.222063034057606</v>
      </c>
      <c r="C50" s="2" t="n">
        <v>5.326068000053056</v>
      </c>
      <c r="D50" s="2" t="n">
        <v>2.222063034057606</v>
      </c>
      <c r="E50" s="2" t="n">
        <v>0.2640015350341774</v>
      </c>
      <c r="F50" s="2" t="n">
        <v>10</v>
      </c>
    </row>
    <row r="51">
      <c r="A51" s="2" t="n">
        <v>0</v>
      </c>
      <c r="B51" s="2" t="n">
        <v>1.169665115356434</v>
      </c>
      <c r="C51" s="2" t="n">
        <v>5.432145499973558</v>
      </c>
      <c r="D51" s="2" t="n">
        <v>-1.052397918701172</v>
      </c>
      <c r="E51" s="2" t="n">
        <v>0.03006851196289064</v>
      </c>
      <c r="F51" s="2" t="n">
        <v>10</v>
      </c>
    </row>
    <row r="52">
      <c r="A52" s="2" t="n">
        <v>0</v>
      </c>
      <c r="B52" s="2" t="n">
        <v>1.320007675170887</v>
      </c>
      <c r="C52" s="2" t="n">
        <v>5.525295500061475</v>
      </c>
      <c r="D52" s="2" t="n">
        <v>0.150342559814453</v>
      </c>
      <c r="E52" s="2" t="n">
        <v>0.2940700469970681</v>
      </c>
      <c r="F52" s="2" t="n">
        <v>10</v>
      </c>
    </row>
    <row r="53">
      <c r="A53" s="2" t="n">
        <v>0</v>
      </c>
      <c r="B53" s="2" t="n">
        <v>2.673090713500966</v>
      </c>
      <c r="C53" s="2" t="n">
        <v>5.649250800022855</v>
      </c>
      <c r="D53" s="2" t="n">
        <v>1.353083038330078</v>
      </c>
      <c r="E53" s="2" t="n">
        <v>-0.0601370239257812</v>
      </c>
      <c r="F53" s="2" t="n">
        <v>10</v>
      </c>
    </row>
    <row r="54">
      <c r="A54" s="2" t="n">
        <v>0</v>
      </c>
      <c r="B54" s="2" t="n">
        <v>1.470350234985341</v>
      </c>
      <c r="C54" s="2" t="n">
        <v>5.742752199992537</v>
      </c>
      <c r="D54" s="2" t="n">
        <v>-1.202740478515625</v>
      </c>
      <c r="E54" s="2" t="n">
        <v>-0.1002283732096354</v>
      </c>
      <c r="F54" s="2" t="n">
        <v>10</v>
      </c>
    </row>
    <row r="55">
      <c r="A55" s="2" t="n">
        <v>0</v>
      </c>
      <c r="B55" s="2" t="n">
        <v>1.9213779144287</v>
      </c>
      <c r="C55" s="2" t="n">
        <v>5.874926100019366</v>
      </c>
      <c r="D55" s="2" t="n">
        <v>0.4510276794433594</v>
      </c>
      <c r="E55" s="2" t="n">
        <v>-0.1503425598144531</v>
      </c>
      <c r="F55" s="2" t="n">
        <v>10</v>
      </c>
    </row>
    <row r="56">
      <c r="A56" s="2" t="n">
        <v>0</v>
      </c>
      <c r="B56" s="2" t="n">
        <v>0.6685232493082572</v>
      </c>
      <c r="C56" s="2" t="n">
        <v>5.976003500050865</v>
      </c>
      <c r="D56" s="2" t="n">
        <v>-1.252854665120443</v>
      </c>
      <c r="E56" s="2" t="n">
        <v>0.09020553588867179</v>
      </c>
      <c r="F56" s="2" t="n">
        <v>10</v>
      </c>
    </row>
    <row r="57">
      <c r="A57" s="2" t="n">
        <v>0</v>
      </c>
      <c r="B57" s="2" t="n">
        <v>0.5682948760986218</v>
      </c>
      <c r="C57" s="2" t="n">
        <v>6.086309800040908</v>
      </c>
      <c r="D57" s="2" t="n">
        <v>-0.1002283732096354</v>
      </c>
      <c r="E57" s="2" t="n">
        <v>0.3006851196289062</v>
      </c>
      <c r="F57" s="2" t="n">
        <v>10</v>
      </c>
    </row>
    <row r="58">
      <c r="A58" s="2" t="n">
        <v>0</v>
      </c>
      <c r="B58" s="2" t="n">
        <v>3.124118392944325</v>
      </c>
      <c r="C58" s="2" t="n">
        <v>6.210206800024025</v>
      </c>
      <c r="D58" s="2" t="n">
        <v>2.555823516845703</v>
      </c>
      <c r="E58" s="2" t="n">
        <v>-0.3006851196289063</v>
      </c>
      <c r="F58" s="2" t="n">
        <v>10</v>
      </c>
    </row>
    <row r="59">
      <c r="A59" s="2" t="n">
        <v>0</v>
      </c>
      <c r="B59" s="2" t="n">
        <v>2.973775833129872</v>
      </c>
      <c r="C59" s="2" t="n">
        <v>6.31977319996804</v>
      </c>
      <c r="D59" s="2" t="n">
        <v>-0.1503425598144532</v>
      </c>
      <c r="E59" s="2" t="n">
        <v>0.4009134928385416</v>
      </c>
      <c r="F59" s="2" t="n">
        <v>10</v>
      </c>
    </row>
    <row r="60">
      <c r="A60" s="2" t="n">
        <v>0</v>
      </c>
      <c r="B60" s="2" t="n">
        <v>0.4179523162841687</v>
      </c>
      <c r="C60" s="2" t="n">
        <v>6.439802099950612</v>
      </c>
      <c r="D60" s="2" t="n">
        <v>-2.555823516845703</v>
      </c>
      <c r="E60" s="2" t="n">
        <v>0.2004567464192707</v>
      </c>
      <c r="F60" s="2" t="n">
        <v>10</v>
      </c>
    </row>
    <row r="61">
      <c r="A61" s="2" t="n">
        <v>0</v>
      </c>
      <c r="B61" s="2" t="n">
        <v>2.673090713500965</v>
      </c>
      <c r="C61" s="2" t="n">
        <v>6.554017700022087</v>
      </c>
      <c r="D61" s="2" t="n">
        <v>2.255138397216796</v>
      </c>
      <c r="E61" s="2" t="n">
        <v>-0.5713017272949218</v>
      </c>
      <c r="F61" s="2" t="n">
        <v>10</v>
      </c>
    </row>
    <row r="62">
      <c r="A62" s="2" t="n">
        <v>0</v>
      </c>
      <c r="B62" s="2" t="n">
        <v>1.570578608194976</v>
      </c>
      <c r="C62" s="2" t="n">
        <v>6.646954399999231</v>
      </c>
      <c r="D62" s="2" t="n">
        <v>-1.102512105305989</v>
      </c>
      <c r="E62" s="2" t="n">
        <v>-0.5947551666259743</v>
      </c>
      <c r="F62" s="2" t="n">
        <v>10</v>
      </c>
    </row>
    <row r="63">
      <c r="A63" s="2" t="n">
        <v>0</v>
      </c>
      <c r="B63" s="2" t="n">
        <v>0.2676097564697156</v>
      </c>
      <c r="C63" s="2" t="n">
        <v>6.803862200002186</v>
      </c>
      <c r="D63" s="2" t="n">
        <v>-1.30296885172526</v>
      </c>
      <c r="E63" s="2" t="n">
        <v>-0.08359046325683372</v>
      </c>
      <c r="F63" s="2" t="n">
        <v>10</v>
      </c>
    </row>
    <row r="64">
      <c r="A64" s="2" t="n">
        <v>0</v>
      </c>
      <c r="B64" s="2" t="n">
        <v>0</v>
      </c>
      <c r="C64" s="2" t="n">
        <v>6.911803300026804</v>
      </c>
      <c r="D64" s="2" t="n">
        <v>-0.2676097564697156</v>
      </c>
      <c r="E64" s="2" t="n">
        <v>-0.2104795837402342</v>
      </c>
      <c r="F64" s="2" t="n">
        <v>10</v>
      </c>
    </row>
    <row r="65">
      <c r="A65" s="2" t="n">
        <v>0</v>
      </c>
      <c r="B65" s="2" t="n">
        <v>0</v>
      </c>
      <c r="C65" s="2" t="n">
        <v>7.015661800047383</v>
      </c>
      <c r="D65" s="2" t="n">
        <v>0</v>
      </c>
      <c r="E65" s="2" t="n">
        <v>-0.3141157216389951</v>
      </c>
      <c r="F65" s="2" t="n">
        <v>10</v>
      </c>
    </row>
    <row r="66">
      <c r="A66" s="2" t="n">
        <v>0</v>
      </c>
      <c r="B66" s="2" t="n">
        <v>1.620692794799794</v>
      </c>
      <c r="C66" s="2" t="n">
        <v>7.130177899962291</v>
      </c>
      <c r="D66" s="2" t="n">
        <v>1.620692794799794</v>
      </c>
      <c r="E66" s="2" t="n">
        <v>0.1202740478515625</v>
      </c>
      <c r="F66" s="2" t="n">
        <v>10</v>
      </c>
    </row>
    <row r="67">
      <c r="A67" s="2" t="n">
        <v>0</v>
      </c>
      <c r="B67" s="2" t="n">
        <v>0</v>
      </c>
      <c r="C67" s="2" t="n">
        <v>7.238801400060765</v>
      </c>
      <c r="D67" s="2" t="n">
        <v>-1.620692794799794</v>
      </c>
      <c r="E67" s="2" t="n">
        <v>0.624823678588865</v>
      </c>
      <c r="F67" s="2" t="n">
        <v>10</v>
      </c>
    </row>
    <row r="68">
      <c r="A68" s="2" t="n">
        <v>0</v>
      </c>
      <c r="B68" s="2" t="n">
        <v>0.868979995727528</v>
      </c>
      <c r="C68" s="2" t="n">
        <v>7.378149399999529</v>
      </c>
      <c r="D68" s="2" t="n">
        <v>0.868979995727528</v>
      </c>
      <c r="E68" s="2" t="n">
        <v>0.05352195129394312</v>
      </c>
      <c r="F68" s="2" t="n">
        <v>10</v>
      </c>
    </row>
    <row r="69">
      <c r="A69" s="2" t="n">
        <v>0</v>
      </c>
      <c r="B69" s="2" t="n">
        <v>3.124118392944325</v>
      </c>
      <c r="C69" s="2" t="n">
        <v>7.47289340000134</v>
      </c>
      <c r="D69" s="2" t="n">
        <v>2.255138397216797</v>
      </c>
      <c r="E69" s="2" t="n">
        <v>-0.3241385589599587</v>
      </c>
      <c r="F69" s="2" t="n">
        <v>10</v>
      </c>
    </row>
    <row r="70">
      <c r="A70" s="2" t="n">
        <v>0</v>
      </c>
      <c r="B70" s="2" t="n">
        <v>0.2676097564697156</v>
      </c>
      <c r="C70" s="2" t="n">
        <v>7.613159000058658</v>
      </c>
      <c r="D70" s="2" t="n">
        <v>-2.856508636474609</v>
      </c>
      <c r="E70" s="2" t="n">
        <v>0.1737959991455056</v>
      </c>
      <c r="F70" s="2" t="n">
        <v>10</v>
      </c>
    </row>
    <row r="71">
      <c r="A71" s="2" t="n">
        <v>0</v>
      </c>
      <c r="B71" s="2" t="n">
        <v>0</v>
      </c>
      <c r="C71" s="2" t="n">
        <v>7.719287600019015</v>
      </c>
      <c r="D71" s="2" t="n">
        <v>-0.2676097564697156</v>
      </c>
      <c r="E71" s="2" t="n">
        <v>0.04009134928385418</v>
      </c>
      <c r="F71" s="2" t="n">
        <v>10</v>
      </c>
    </row>
    <row r="72">
      <c r="A72" s="2" t="n">
        <v>0</v>
      </c>
      <c r="B72" s="2" t="n">
        <v>0.8689799957275282</v>
      </c>
      <c r="C72" s="2" t="n">
        <v>7.812618799973279</v>
      </c>
      <c r="D72" s="2" t="n">
        <v>0.8689799957275282</v>
      </c>
      <c r="E72" s="2" t="n">
        <v>-0.03006851196289058</v>
      </c>
      <c r="F72" s="2" t="n">
        <v>10</v>
      </c>
    </row>
    <row r="73">
      <c r="A73" s="2" t="n">
        <v>0</v>
      </c>
      <c r="B73" s="2" t="n">
        <v>1.069436742146799</v>
      </c>
      <c r="C73" s="2" t="n">
        <v>7.952289200038649</v>
      </c>
      <c r="D73" s="2" t="n">
        <v>0.2004567464192708</v>
      </c>
      <c r="E73" s="2" t="n">
        <v>-0.05352195129394312</v>
      </c>
      <c r="F73" s="2" t="n">
        <v>10</v>
      </c>
    </row>
    <row r="74">
      <c r="A74" s="2" t="n">
        <v>0</v>
      </c>
      <c r="B74" s="2" t="n">
        <v>2.973775833129872</v>
      </c>
      <c r="C74" s="2" t="n">
        <v>8.060715600033291</v>
      </c>
      <c r="D74" s="2" t="n">
        <v>1.904339090983073</v>
      </c>
      <c r="E74" s="2" t="n">
        <v>0.05352195129394312</v>
      </c>
      <c r="F74" s="2" t="n">
        <v>10</v>
      </c>
    </row>
    <row r="75">
      <c r="A75" s="2" t="n">
        <v>0</v>
      </c>
      <c r="B75" s="2" t="n">
        <v>0</v>
      </c>
      <c r="C75" s="2" t="n">
        <v>8.199387899949215</v>
      </c>
      <c r="D75" s="2" t="n">
        <v>-2.973775833129872</v>
      </c>
      <c r="E75" s="2" t="n">
        <v>-0.1737959991455056</v>
      </c>
      <c r="F75" s="2" t="n">
        <v>10</v>
      </c>
    </row>
    <row r="76">
      <c r="A76" s="2" t="n">
        <v>0</v>
      </c>
      <c r="B76" s="2" t="n">
        <v>0.2676097564697156</v>
      </c>
      <c r="C76" s="2" t="n">
        <v>8.293732700054534</v>
      </c>
      <c r="D76" s="2" t="n">
        <v>0.2676097564697156</v>
      </c>
      <c r="E76" s="2" t="n">
        <v>0.350799306233724</v>
      </c>
      <c r="F76" s="2" t="n">
        <v>10</v>
      </c>
    </row>
    <row r="77">
      <c r="A77" s="2" t="n">
        <v>0</v>
      </c>
      <c r="B77" s="2" t="n">
        <v>0</v>
      </c>
      <c r="C77" s="2" t="n">
        <v>8.402710000053048</v>
      </c>
      <c r="D77" s="2" t="n">
        <v>-0.2676097564697156</v>
      </c>
      <c r="E77" s="2" t="n">
        <v>0.4450139770507812</v>
      </c>
      <c r="F77" s="2" t="n">
        <v>10</v>
      </c>
    </row>
    <row r="78">
      <c r="A78" s="2" t="n">
        <v>0</v>
      </c>
      <c r="B78" s="2" t="n">
        <v>2.823433273315419</v>
      </c>
      <c r="C78" s="2" t="n">
        <v>8.527540000039153</v>
      </c>
      <c r="D78" s="2" t="n">
        <v>2.823433273315419</v>
      </c>
      <c r="E78" s="2" t="n">
        <v>1.665194192504881</v>
      </c>
      <c r="F78" s="2" t="n">
        <v>10</v>
      </c>
    </row>
    <row r="79">
      <c r="A79" s="2" t="n">
        <v>0.0354222158584596</v>
      </c>
      <c r="B79" s="2" t="n">
        <v>5.198845718383778</v>
      </c>
      <c r="C79" s="2" t="n">
        <v>8.636688400059938</v>
      </c>
      <c r="D79" s="2" t="n">
        <v>2.375412445068359</v>
      </c>
      <c r="E79" s="2" t="n">
        <v>7.402867645263671</v>
      </c>
      <c r="F79" s="2" t="n">
        <v>10</v>
      </c>
    </row>
    <row r="80">
      <c r="A80" s="2" t="n">
        <v>0.08006800084686291</v>
      </c>
      <c r="B80" s="2" t="n">
        <v>8.325970962524403</v>
      </c>
      <c r="C80" s="2" t="n">
        <v>8.73051799996756</v>
      </c>
      <c r="D80" s="2" t="n">
        <v>3.127125244140625</v>
      </c>
      <c r="E80" s="2" t="n">
        <v>23.62122162780762</v>
      </c>
      <c r="F80" s="2" t="n">
        <v>10</v>
      </c>
    </row>
    <row r="81">
      <c r="A81" s="2" t="n">
        <v>0.1956550105819704</v>
      </c>
      <c r="B81" s="2" t="n">
        <v>37.28194798278808</v>
      </c>
      <c r="C81" s="2" t="n">
        <v>8.869725299999118</v>
      </c>
      <c r="D81" s="2" t="n">
        <v>28.95597702026367</v>
      </c>
      <c r="E81" s="2" t="n">
        <v>49.96785317993165</v>
      </c>
      <c r="F81" s="2" t="n">
        <v>10</v>
      </c>
    </row>
    <row r="82">
      <c r="A82" s="2" t="n">
        <v>0.2598207232437135</v>
      </c>
      <c r="B82" s="2" t="n">
        <v>118.1061081390381</v>
      </c>
      <c r="C82" s="2" t="n">
        <v>8.979944100021385</v>
      </c>
      <c r="D82" s="2" t="n">
        <v>80.82416015625</v>
      </c>
      <c r="E82" s="2" t="n">
        <v>79.02606314086914</v>
      </c>
      <c r="F82" s="2" t="n">
        <v>10</v>
      </c>
    </row>
    <row r="83">
      <c r="A83" s="2" t="n">
        <v>0.3031356040725709</v>
      </c>
      <c r="B83" s="2" t="n">
        <v>252.6626991729736</v>
      </c>
      <c r="C83" s="2" t="n">
        <v>9.120473899994977</v>
      </c>
      <c r="D83" s="2" t="n">
        <v>134.5565910339356</v>
      </c>
      <c r="E83" s="2" t="n">
        <v>103.2131741638184</v>
      </c>
      <c r="F83" s="2" t="n">
        <v>10</v>
      </c>
    </row>
    <row r="84">
      <c r="A84" s="2" t="n">
        <v>0.4023887900314332</v>
      </c>
      <c r="B84" s="2" t="n">
        <v>400.3291614227295</v>
      </c>
      <c r="C84" s="2" t="n">
        <v>9.213008900056593</v>
      </c>
      <c r="D84" s="2" t="n">
        <v>147.6664622497559</v>
      </c>
      <c r="E84" s="2" t="n">
        <v>131.0926984558105</v>
      </c>
      <c r="F84" s="2" t="n">
        <v>10</v>
      </c>
    </row>
    <row r="85">
      <c r="A85" s="2" t="n">
        <v>0.4498980354843141</v>
      </c>
      <c r="B85" s="2" t="n">
        <v>524.3918417816162</v>
      </c>
      <c r="C85" s="2" t="n">
        <v>9.320820900029503</v>
      </c>
      <c r="D85" s="2" t="n">
        <v>124.0626803588867</v>
      </c>
      <c r="E85" s="2" t="n">
        <v>143.0419251098633</v>
      </c>
      <c r="F85" s="2" t="n">
        <v>10</v>
      </c>
    </row>
    <row r="86">
      <c r="A86" s="2" t="n">
        <v>0.5383426664505007</v>
      </c>
      <c r="B86" s="2" t="n">
        <v>692.7454402618408</v>
      </c>
      <c r="C86" s="2" t="n">
        <v>9.461435100063682</v>
      </c>
      <c r="D86" s="2" t="n">
        <v>168.3535984802246</v>
      </c>
      <c r="E86" s="2" t="n">
        <v>145.2248990783692</v>
      </c>
      <c r="F86" s="2" t="n">
        <v>10</v>
      </c>
    </row>
    <row r="87">
      <c r="A87" s="2" t="n">
        <v>0.6049685352859498</v>
      </c>
      <c r="B87" s="2" t="n">
        <v>833.3157336883545</v>
      </c>
      <c r="C87" s="2" t="n">
        <v>9.553694000001997</v>
      </c>
      <c r="D87" s="2" t="n">
        <v>140.5702934265137</v>
      </c>
      <c r="E87" s="2" t="n">
        <v>149.7953128967285</v>
      </c>
      <c r="F87" s="2" t="n">
        <v>10</v>
      </c>
    </row>
    <row r="88">
      <c r="A88" s="2" t="n">
        <v>0.6734899342880251</v>
      </c>
      <c r="B88" s="2" t="n">
        <v>978.7871945648194</v>
      </c>
      <c r="C88" s="2" t="n">
        <v>9.68585789995268</v>
      </c>
      <c r="D88" s="2" t="n">
        <v>145.4714608764649</v>
      </c>
      <c r="E88" s="2" t="n">
        <v>149.4344907531739</v>
      </c>
      <c r="F88" s="2" t="n">
        <v>10</v>
      </c>
    </row>
    <row r="89">
      <c r="A89" s="2" t="n">
        <v>0.7527795578536989</v>
      </c>
      <c r="B89" s="2" t="n">
        <v>1149.305725906372</v>
      </c>
      <c r="C89" s="2" t="n">
        <v>9.802720400039107</v>
      </c>
      <c r="D89" s="2" t="n">
        <v>170.5185313415527</v>
      </c>
      <c r="E89" s="2" t="n">
        <v>141.4182254638672</v>
      </c>
      <c r="F89" s="2" t="n">
        <v>10</v>
      </c>
    </row>
    <row r="90">
      <c r="A90" s="2" t="n">
        <v>0.8404175802383425</v>
      </c>
      <c r="B90" s="2" t="n">
        <v>1271.564295547485</v>
      </c>
      <c r="C90" s="2" t="n">
        <v>9.910350700025447</v>
      </c>
      <c r="D90" s="2" t="n">
        <v>122.2585696411134</v>
      </c>
      <c r="E90" s="2" t="n">
        <v>134.3400977478027</v>
      </c>
      <c r="F90" s="2" t="n">
        <v>10</v>
      </c>
    </row>
    <row r="91">
      <c r="A91" s="2" t="n">
        <v>0.9224496729812625</v>
      </c>
      <c r="B91" s="2" t="n">
        <v>1399.836567581177</v>
      </c>
      <c r="C91" s="2" t="n">
        <v>10.036492299987</v>
      </c>
      <c r="D91" s="2" t="n">
        <v>128.2722720336913</v>
      </c>
      <c r="E91" s="2" t="n">
        <v>123.9063240966797</v>
      </c>
      <c r="F91" s="2" t="n">
        <v>10</v>
      </c>
    </row>
    <row r="92">
      <c r="A92" s="2" t="n">
        <v>1.007425887046814</v>
      </c>
      <c r="B92" s="2" t="n">
        <v>1505.016222427368</v>
      </c>
      <c r="C92" s="2" t="n">
        <v>10.12966960004997</v>
      </c>
      <c r="D92" s="2" t="n">
        <v>105.1796548461914</v>
      </c>
      <c r="E92" s="2" t="n">
        <v>115.1263186035156</v>
      </c>
      <c r="F92" s="2" t="n">
        <v>10</v>
      </c>
    </row>
    <row r="93">
      <c r="A93" s="2" t="n">
        <v>1.094821926856995</v>
      </c>
      <c r="B93" s="2" t="n">
        <v>1598.318815048218</v>
      </c>
      <c r="C93" s="2" t="n">
        <v>10.28001190000214</v>
      </c>
      <c r="D93" s="2" t="n">
        <v>93.30259262084974</v>
      </c>
      <c r="E93" s="2" t="n">
        <v>106.8274093017578</v>
      </c>
      <c r="F93" s="2" t="n">
        <v>10</v>
      </c>
    </row>
    <row r="94">
      <c r="A94" s="2" t="n">
        <v>1.196857912422181</v>
      </c>
      <c r="B94" s="2" t="n">
        <v>1724.93731892395</v>
      </c>
      <c r="C94" s="2" t="n">
        <v>10.37888460000977</v>
      </c>
      <c r="D94" s="2" t="n">
        <v>126.6185038757321</v>
      </c>
      <c r="E94" s="2" t="n">
        <v>94.86014154052737</v>
      </c>
      <c r="F94" s="2" t="n">
        <v>10</v>
      </c>
    </row>
    <row r="95">
      <c r="A95" s="2" t="n">
        <v>1.293247637916565</v>
      </c>
      <c r="B95" s="2" t="n">
        <v>1805.701342056274</v>
      </c>
      <c r="C95" s="2" t="n">
        <v>10.48539329995401</v>
      </c>
      <c r="D95" s="2" t="n">
        <v>80.76402313232438</v>
      </c>
      <c r="E95" s="2" t="n">
        <v>84.39028567504889</v>
      </c>
      <c r="F95" s="2" t="n">
        <v>10</v>
      </c>
    </row>
    <row r="96">
      <c r="A96" s="2" t="n">
        <v>1.388104807106018</v>
      </c>
      <c r="B96" s="2" t="n">
        <v>1874.137275283814</v>
      </c>
      <c r="C96" s="2" t="n">
        <v>10.60951099998783</v>
      </c>
      <c r="D96" s="2" t="n">
        <v>68.43593322753918</v>
      </c>
      <c r="E96" s="2" t="n">
        <v>74.72025222778316</v>
      </c>
      <c r="F96" s="2" t="n">
        <v>10</v>
      </c>
    </row>
    <row r="97">
      <c r="A97" s="2" t="n">
        <v>1.485139819465637</v>
      </c>
      <c r="B97" s="2" t="n">
        <v>1926.967650802613</v>
      </c>
      <c r="C97" s="2" t="n">
        <v>10.70348200004082</v>
      </c>
      <c r="D97" s="2" t="n">
        <v>52.83037551879897</v>
      </c>
      <c r="E97" s="2" t="n">
        <v>53.12504693603514</v>
      </c>
      <c r="F97" s="2" t="n">
        <v>10</v>
      </c>
    </row>
    <row r="98">
      <c r="A98" s="2" t="n">
        <v>1.57547998059845</v>
      </c>
      <c r="B98" s="2" t="n">
        <v>1971.920076187134</v>
      </c>
      <c r="C98" s="2" t="n">
        <v>10.81228169996757</v>
      </c>
      <c r="D98" s="2" t="n">
        <v>44.95242538452112</v>
      </c>
      <c r="E98" s="2" t="n">
        <v>37.21880410766598</v>
      </c>
      <c r="F98" s="2" t="n">
        <v>10</v>
      </c>
    </row>
    <row r="99">
      <c r="A99" s="2" t="n">
        <v>1.680661739631653</v>
      </c>
      <c r="B99" s="2" t="n">
        <v>1990.562553604126</v>
      </c>
      <c r="C99" s="2" t="n">
        <v>10.93638179998379</v>
      </c>
      <c r="D99" s="2" t="n">
        <v>18.64247741699205</v>
      </c>
      <c r="E99" s="2" t="n">
        <v>19.64676571655268</v>
      </c>
      <c r="F99" s="2" t="n">
        <v>10</v>
      </c>
    </row>
    <row r="100">
      <c r="A100" s="2" t="n">
        <v>1.776285186973572</v>
      </c>
      <c r="B100" s="2" t="n">
        <v>1991.795362594604</v>
      </c>
      <c r="C100" s="2" t="n">
        <v>11.02921299997251</v>
      </c>
      <c r="D100" s="2" t="n">
        <v>1.232808990478588</v>
      </c>
      <c r="E100" s="2" t="n">
        <v>-2.892590850830083</v>
      </c>
      <c r="F100" s="2" t="n">
        <v>10</v>
      </c>
    </row>
    <row r="101">
      <c r="A101" s="2" t="n">
        <v>1.882434876304627</v>
      </c>
      <c r="B101" s="2" t="n">
        <v>1972.371103866577</v>
      </c>
      <c r="C101" s="2" t="n">
        <v>11.1607706999639</v>
      </c>
      <c r="D101" s="2" t="n">
        <v>-19.42425872802733</v>
      </c>
      <c r="E101" s="2" t="n">
        <v>-25.02301565551752</v>
      </c>
      <c r="F101" s="2" t="n">
        <v>10</v>
      </c>
    </row>
    <row r="102">
      <c r="A102" s="2" t="n">
        <v>2.021574856620789</v>
      </c>
      <c r="B102" s="2" t="n">
        <v>1912.504696548462</v>
      </c>
      <c r="C102" s="2" t="n">
        <v>11.2661734999856</v>
      </c>
      <c r="D102" s="2" t="n">
        <v>-59.86640731811485</v>
      </c>
      <c r="E102" s="2" t="n">
        <v>-46.67835797119132</v>
      </c>
      <c r="F102" s="2" t="n">
        <v>10</v>
      </c>
    </row>
    <row r="103">
      <c r="A103" s="2" t="n">
        <v>2.121070025154114</v>
      </c>
      <c r="B103" s="2" t="n">
        <v>1846.804997909546</v>
      </c>
      <c r="C103" s="2" t="n">
        <v>11.37408119998872</v>
      </c>
      <c r="D103" s="2" t="n">
        <v>-65.69969863891606</v>
      </c>
      <c r="E103" s="2" t="n">
        <v>-66.12667150878897</v>
      </c>
      <c r="F103" s="2" t="n">
        <v>10</v>
      </c>
    </row>
    <row r="104">
      <c r="A104" s="2" t="n">
        <v>2.249683763481141</v>
      </c>
      <c r="B104" s="2" t="n">
        <v>1757.170763748169</v>
      </c>
      <c r="C104" s="2" t="n">
        <v>11.50086280005053</v>
      </c>
      <c r="D104" s="2" t="n">
        <v>-89.63423416137698</v>
      </c>
      <c r="E104" s="2" t="n">
        <v>-81.37742077636713</v>
      </c>
      <c r="F104" s="2" t="n">
        <v>10</v>
      </c>
    </row>
    <row r="105">
      <c r="A105" s="2" t="n">
        <v>2.376926267219544</v>
      </c>
      <c r="B105" s="2" t="n">
        <v>1661.162005050659</v>
      </c>
      <c r="C105" s="2" t="n">
        <v>11.60797140002251</v>
      </c>
      <c r="D105" s="2" t="n">
        <v>-96.00875869750962</v>
      </c>
      <c r="E105" s="2" t="n">
        <v>-93.4529351806641</v>
      </c>
      <c r="F105" s="2" t="n">
        <v>10</v>
      </c>
    </row>
    <row r="106">
      <c r="A106" s="2" t="n">
        <v>2.474041940437317</v>
      </c>
      <c r="B106" s="2" t="n">
        <v>1565.483999984741</v>
      </c>
      <c r="C106" s="2" t="n">
        <v>11.71525749994908</v>
      </c>
      <c r="D106" s="2" t="n">
        <v>-95.67800506591811</v>
      </c>
      <c r="E106" s="2" t="n">
        <v>-107.3926973266602</v>
      </c>
      <c r="F106" s="2" t="n">
        <v>10</v>
      </c>
    </row>
    <row r="107">
      <c r="A107" s="2" t="n">
        <v>2.618908841682434</v>
      </c>
      <c r="B107" s="2" t="n">
        <v>1445.240020645142</v>
      </c>
      <c r="C107" s="2" t="n">
        <v>11.85704949998762</v>
      </c>
      <c r="D107" s="2" t="n">
        <v>-120.2439793395997</v>
      </c>
      <c r="E107" s="2" t="n">
        <v>-122.733652130127</v>
      </c>
      <c r="F107" s="2" t="n">
        <v>10</v>
      </c>
    </row>
    <row r="108">
      <c r="A108" s="2" t="n">
        <v>2.728768930488587</v>
      </c>
      <c r="B108" s="2" t="n">
        <v>1309.841511276245</v>
      </c>
      <c r="C108" s="2" t="n">
        <v>11.96647910005413</v>
      </c>
      <c r="D108" s="2" t="n">
        <v>-135.3985093688964</v>
      </c>
      <c r="E108" s="2" t="n">
        <v>-149.7532169799805</v>
      </c>
      <c r="F108" s="2" t="n">
        <v>10</v>
      </c>
    </row>
    <row r="109">
      <c r="A109" s="2" t="n">
        <v>2.858753903404236</v>
      </c>
      <c r="B109" s="2" t="n">
        <v>1143.502503097534</v>
      </c>
      <c r="C109" s="2" t="n">
        <v>12.08368569996674</v>
      </c>
      <c r="D109" s="2" t="n">
        <v>-166.3390081787111</v>
      </c>
      <c r="E109" s="2" t="n">
        <v>-167.8364200744629</v>
      </c>
      <c r="F109" s="2" t="n">
        <v>10</v>
      </c>
    </row>
    <row r="110">
      <c r="A110" s="2" t="n">
        <v>3.011364247032166</v>
      </c>
      <c r="B110" s="2" t="n">
        <v>912.3959201507569</v>
      </c>
      <c r="C110" s="2" t="n">
        <v>12.20063740003388</v>
      </c>
      <c r="D110" s="2" t="n">
        <v>-231.1065829467773</v>
      </c>
      <c r="E110" s="2" t="n">
        <v>-175.6301783752442</v>
      </c>
      <c r="F110" s="2" t="n">
        <v>10</v>
      </c>
    </row>
    <row r="111">
      <c r="A111" s="2" t="n">
        <v>3.140703933082581</v>
      </c>
      <c r="B111" s="2" t="n">
        <v>726.3018996124267</v>
      </c>
      <c r="C111" s="2" t="n">
        <v>12.31161600002088</v>
      </c>
      <c r="D111" s="2" t="n">
        <v>-186.0940205383301</v>
      </c>
      <c r="E111" s="2" t="n">
        <v>-175.1851643981934</v>
      </c>
      <c r="F111" s="2" t="n">
        <v>10</v>
      </c>
    </row>
    <row r="112">
      <c r="A112" s="2" t="n">
        <v>3.298678223777772</v>
      </c>
      <c r="B112" s="2" t="n">
        <v>567.0891287689209</v>
      </c>
      <c r="C112" s="2" t="n">
        <v>12.4209793000482</v>
      </c>
      <c r="D112" s="2" t="n">
        <v>-159.2127708435058</v>
      </c>
      <c r="E112" s="2" t="n">
        <v>-161.1792515258789</v>
      </c>
      <c r="F112" s="2" t="n">
        <v>10</v>
      </c>
    </row>
    <row r="113">
      <c r="A113" s="2" t="n">
        <v>3.429026170555115</v>
      </c>
      <c r="B113" s="2" t="n">
        <v>433.9156892852783</v>
      </c>
      <c r="C113" s="2" t="n">
        <v>12.52941780001856</v>
      </c>
      <c r="D113" s="2" t="n">
        <v>-133.1734394836426</v>
      </c>
      <c r="E113" s="2" t="n">
        <v>-131.7782605285645</v>
      </c>
      <c r="F113" s="2" t="n">
        <v>10</v>
      </c>
    </row>
    <row r="114">
      <c r="A114" s="2" t="n">
        <v>3.568932429023743</v>
      </c>
      <c r="B114" s="2" t="n">
        <v>337.6062454681397</v>
      </c>
      <c r="C114" s="2" t="n">
        <v>12.63695489999373</v>
      </c>
      <c r="D114" s="2" t="n">
        <v>-96.30944381713863</v>
      </c>
      <c r="E114" s="2" t="n">
        <v>-104.5842983093262</v>
      </c>
      <c r="F114" s="2" t="n">
        <v>10</v>
      </c>
    </row>
    <row r="115">
      <c r="A115" s="2" t="n">
        <v>3.709322652641297</v>
      </c>
      <c r="B115" s="2" t="n">
        <v>253.5046175079346</v>
      </c>
      <c r="C115" s="2" t="n">
        <v>12.76192700001411</v>
      </c>
      <c r="D115" s="2" t="n">
        <v>-84.10162796020509</v>
      </c>
      <c r="E115" s="2" t="n">
        <v>-80.61969427490234</v>
      </c>
      <c r="F115" s="2" t="n">
        <v>10</v>
      </c>
    </row>
    <row r="116">
      <c r="A116" s="2" t="n">
        <v>3.832975748191834</v>
      </c>
      <c r="B116" s="2" t="n">
        <v>203.3804080657959</v>
      </c>
      <c r="C116" s="2" t="n">
        <v>12.87008559994865</v>
      </c>
      <c r="D116" s="2" t="n">
        <v>-50.12420944213869</v>
      </c>
      <c r="E116" s="2" t="n">
        <v>-59.93857174682616</v>
      </c>
      <c r="F116" s="2" t="n">
        <v>10</v>
      </c>
    </row>
    <row r="117">
      <c r="A117" s="2" t="n">
        <v>3.95324108769989</v>
      </c>
      <c r="B117" s="2" t="n">
        <v>163.9906573944092</v>
      </c>
      <c r="C117" s="2" t="n">
        <v>12.99831910000648</v>
      </c>
      <c r="D117" s="2" t="n">
        <v>-39.38975067138671</v>
      </c>
      <c r="E117" s="2" t="n">
        <v>-45.8304259338379</v>
      </c>
      <c r="F117" s="2" t="n">
        <v>10</v>
      </c>
    </row>
    <row r="118">
      <c r="A118" s="2" t="n">
        <v>4.067013228126526</v>
      </c>
      <c r="B118" s="2" t="n">
        <v>134.2228305511474</v>
      </c>
      <c r="C118" s="2" t="n">
        <v>13.10310419998132</v>
      </c>
      <c r="D118" s="2" t="n">
        <v>-29.76782684326173</v>
      </c>
      <c r="E118" s="2" t="n">
        <v>-33.4301716003418</v>
      </c>
      <c r="F118" s="2" t="n">
        <v>10</v>
      </c>
    </row>
    <row r="119">
      <c r="A119" s="2" t="n">
        <v>4.178365542808534</v>
      </c>
      <c r="B119" s="2" t="n">
        <v>108.4541157989502</v>
      </c>
      <c r="C119" s="2" t="n">
        <v>13.21041860000696</v>
      </c>
      <c r="D119" s="2" t="n">
        <v>-25.76871475219727</v>
      </c>
      <c r="E119" s="2" t="n">
        <v>-26.6948249206543</v>
      </c>
      <c r="F119" s="2" t="n">
        <v>10</v>
      </c>
    </row>
    <row r="120">
      <c r="A120" s="2" t="n">
        <v>4.294839821983338</v>
      </c>
      <c r="B120" s="2" t="n">
        <v>86.35375950622557</v>
      </c>
      <c r="C120" s="2" t="n">
        <v>13.33780490001664</v>
      </c>
      <c r="D120" s="2" t="n">
        <v>-22.1003562927246</v>
      </c>
      <c r="E120" s="2" t="n">
        <v>-21.99812335205078</v>
      </c>
      <c r="F120" s="2" t="n">
        <v>10</v>
      </c>
    </row>
    <row r="121">
      <c r="A121" s="2" t="n">
        <v>4.391310208335877</v>
      </c>
      <c r="B121" s="2" t="n">
        <v>69.9062834625244</v>
      </c>
      <c r="C121" s="2" t="n">
        <v>13.43111760006286</v>
      </c>
      <c r="D121" s="2" t="n">
        <v>-16.44747604370117</v>
      </c>
      <c r="E121" s="2" t="n">
        <v>-18.70862814331054</v>
      </c>
      <c r="F121" s="2" t="n">
        <v>10</v>
      </c>
    </row>
    <row r="122">
      <c r="A122" s="2" t="n">
        <v>4.486006055809021</v>
      </c>
      <c r="B122" s="2" t="n">
        <v>54.00004063415527</v>
      </c>
      <c r="C122" s="2" t="n">
        <v>13.57462319999468</v>
      </c>
      <c r="D122" s="2" t="n">
        <v>-15.90624282836913</v>
      </c>
      <c r="E122" s="2" t="n">
        <v>-14.80573529052734</v>
      </c>
      <c r="F122" s="2" t="n">
        <v>10</v>
      </c>
    </row>
    <row r="123">
      <c r="A123" s="2" t="n">
        <v>4.585057589622498</v>
      </c>
      <c r="B123" s="2" t="n">
        <v>40.67968983459472</v>
      </c>
      <c r="C123" s="2" t="n">
        <v>13.67927760002203</v>
      </c>
      <c r="D123" s="2" t="n">
        <v>-13.32035079956055</v>
      </c>
      <c r="E123" s="2" t="n">
        <v>-12.72499426269531</v>
      </c>
      <c r="F123" s="2" t="n">
        <v>10</v>
      </c>
    </row>
    <row r="124">
      <c r="A124" s="2" t="n">
        <v>4.685520688453675</v>
      </c>
      <c r="B124" s="2" t="n">
        <v>34.42543934631347</v>
      </c>
      <c r="C124" s="2" t="n">
        <v>13.772740000044</v>
      </c>
      <c r="D124" s="2" t="n">
        <v>-6.254250488281251</v>
      </c>
      <c r="E124" s="2" t="n">
        <v>-11.23960977172851</v>
      </c>
      <c r="F124" s="2" t="n">
        <v>10</v>
      </c>
    </row>
    <row r="125">
      <c r="A125" s="2" t="n">
        <v>4.778280675331116</v>
      </c>
      <c r="B125" s="2" t="n">
        <v>22.72878819274901</v>
      </c>
      <c r="C125" s="2" t="n">
        <v>13.91561839997303</v>
      </c>
      <c r="D125" s="2" t="n">
        <v>-11.69665115356446</v>
      </c>
      <c r="E125" s="2" t="n">
        <v>-8.73189587402344</v>
      </c>
      <c r="F125" s="2" t="n">
        <v>10</v>
      </c>
    </row>
    <row r="126">
      <c r="A126" s="2" t="n">
        <v>4.881082939048768</v>
      </c>
      <c r="B126" s="2" t="n">
        <v>13.70823460388183</v>
      </c>
      <c r="C126" s="2" t="n">
        <v>14.02183800004423</v>
      </c>
      <c r="D126" s="2" t="n">
        <v>-9.020553588867186</v>
      </c>
      <c r="E126" s="2" t="n">
        <v>-6.963867370605469</v>
      </c>
      <c r="F126" s="2" t="n">
        <v>10</v>
      </c>
    </row>
    <row r="127">
      <c r="A127" s="2" t="n">
        <v>4.966865761695862</v>
      </c>
      <c r="B127" s="2" t="n">
        <v>10.34056126403808</v>
      </c>
      <c r="C127" s="2" t="n">
        <v>14.14841120003257</v>
      </c>
      <c r="D127" s="2" t="n">
        <v>-3.36767333984375</v>
      </c>
      <c r="E127" s="2" t="n">
        <v>-6.482771179199219</v>
      </c>
      <c r="F127" s="2" t="n">
        <v>10</v>
      </c>
    </row>
    <row r="128">
      <c r="A128" s="2" t="n">
        <v>5.089873570381165</v>
      </c>
      <c r="B128" s="2" t="n">
        <v>5.860352981567372</v>
      </c>
      <c r="C128" s="2" t="n">
        <v>14.27095699997153</v>
      </c>
      <c r="D128" s="2" t="n">
        <v>-4.480208282470704</v>
      </c>
      <c r="E128" s="2" t="n">
        <v>-4.251687591552734</v>
      </c>
      <c r="F128" s="2" t="n">
        <v>10</v>
      </c>
    </row>
    <row r="129">
      <c r="A129" s="2" t="n">
        <v>5.182794878974915</v>
      </c>
      <c r="B129" s="2" t="n">
        <v>2.011583450317372</v>
      </c>
      <c r="C129" s="2" t="n">
        <v>14.36610290000681</v>
      </c>
      <c r="D129" s="2" t="n">
        <v>-3.84876953125</v>
      </c>
      <c r="E129" s="2" t="n">
        <v>-1.545521514892578</v>
      </c>
      <c r="F129" s="2" t="n">
        <v>10</v>
      </c>
    </row>
    <row r="130">
      <c r="A130" s="2" t="n">
        <v>5.275514535423279</v>
      </c>
      <c r="B130" s="2" t="n">
        <v>1.470350234985341</v>
      </c>
      <c r="C130" s="2" t="n">
        <v>14.49736839998513</v>
      </c>
      <c r="D130" s="2" t="n">
        <v>-0.5412332153320312</v>
      </c>
      <c r="E130" s="2" t="n">
        <v>-2.068112252807615</v>
      </c>
      <c r="F130" s="2" t="n">
        <v>10</v>
      </c>
    </row>
    <row r="131">
      <c r="A131" s="2" t="n">
        <v>5.389327006278991</v>
      </c>
      <c r="B131" s="2" t="n">
        <v>5.980627029418934</v>
      </c>
      <c r="C131" s="2" t="n">
        <v>14.60155310004484</v>
      </c>
      <c r="D131" s="2" t="n">
        <v>4.510276794433594</v>
      </c>
      <c r="E131" s="2" t="n">
        <v>-1.172070596313474</v>
      </c>
      <c r="F131" s="2" t="n">
        <v>10</v>
      </c>
    </row>
    <row r="132">
      <c r="A132" s="2" t="n">
        <v>5.496323634620667</v>
      </c>
      <c r="B132" s="2" t="n">
        <v>0</v>
      </c>
      <c r="C132" s="2" t="n">
        <v>14.7098242000211</v>
      </c>
      <c r="D132" s="2" t="n">
        <v>-5.980627029418934</v>
      </c>
      <c r="E132" s="2" t="n">
        <v>-0.4023166900634744</v>
      </c>
      <c r="F132" s="2" t="n">
        <v>10</v>
      </c>
    </row>
    <row r="133">
      <c r="A133" s="2" t="n">
        <v>5.62554232938385</v>
      </c>
      <c r="B133" s="2" t="n">
        <v>0</v>
      </c>
      <c r="C133" s="2" t="n">
        <v>14.83467060001567</v>
      </c>
      <c r="D133" s="2" t="n">
        <v>0</v>
      </c>
      <c r="E133" s="2" t="n">
        <v>-0.2940700469970681</v>
      </c>
      <c r="F133" s="2" t="n">
        <v>10</v>
      </c>
    </row>
    <row r="134">
      <c r="A134" s="2" t="n">
        <v>5.757624484611511</v>
      </c>
      <c r="B134" s="2" t="n">
        <v>0</v>
      </c>
      <c r="C134" s="2" t="n">
        <v>14.94343410001602</v>
      </c>
      <c r="D134" s="2" t="n">
        <v>0</v>
      </c>
      <c r="E134" s="2" t="n">
        <v>-1.196125405883787</v>
      </c>
      <c r="F134" s="2" t="n">
        <v>10</v>
      </c>
    </row>
    <row r="135">
      <c r="A135" s="2" t="n">
        <v>5.862402939353943</v>
      </c>
      <c r="B135" s="2" t="n">
        <v>0</v>
      </c>
      <c r="C135" s="2" t="n">
        <v>15.08168709999882</v>
      </c>
      <c r="D135" s="2" t="n">
        <v>0</v>
      </c>
      <c r="E135" s="2" t="n">
        <v>0</v>
      </c>
      <c r="F135" s="2" t="n">
        <v>10</v>
      </c>
    </row>
    <row r="136">
      <c r="A136" s="2" t="n">
        <v>5.991944277549743</v>
      </c>
      <c r="B136" s="2" t="n">
        <v>0</v>
      </c>
      <c r="C136" s="2" t="n">
        <v>15.19238060002681</v>
      </c>
      <c r="D136" s="2" t="n">
        <v>0</v>
      </c>
      <c r="E136" s="2" t="n">
        <v>0</v>
      </c>
      <c r="F136" s="2" t="n">
        <v>10</v>
      </c>
    </row>
    <row r="137">
      <c r="A137" s="2" t="n">
        <v>6.08208278653717</v>
      </c>
      <c r="B137" s="2" t="n">
        <v>0</v>
      </c>
      <c r="C137" s="2" t="n">
        <v>15.28489700006321</v>
      </c>
      <c r="D137" s="2" t="n">
        <v>0</v>
      </c>
      <c r="E137" s="2" t="n">
        <v>0</v>
      </c>
      <c r="F137" s="2" t="n">
        <v>10</v>
      </c>
    </row>
    <row r="138">
      <c r="A138" s="2" t="n">
        <v>6.180005068336486</v>
      </c>
      <c r="B138" s="2" t="n">
        <v>0</v>
      </c>
      <c r="C138" s="2" t="n">
        <v>15.44542799994815</v>
      </c>
      <c r="D138" s="2" t="n">
        <v>0</v>
      </c>
      <c r="E138" s="2" t="n">
        <v>0</v>
      </c>
      <c r="F138" s="2" t="n">
        <v>10</v>
      </c>
    </row>
    <row r="139">
      <c r="A139" s="2" t="n">
        <v>6.308981780525207</v>
      </c>
      <c r="B139" s="2" t="n">
        <v>0</v>
      </c>
      <c r="C139" s="2" t="n">
        <v>15.54835189995356</v>
      </c>
      <c r="D139" s="2" t="n">
        <v>0</v>
      </c>
      <c r="E139" s="2" t="n">
        <v>0</v>
      </c>
      <c r="F139" s="2" t="n">
        <v>10</v>
      </c>
    </row>
    <row r="140">
      <c r="A140" s="2" t="n">
        <v>6.409001244636535</v>
      </c>
      <c r="B140" s="2" t="n">
        <v>0</v>
      </c>
      <c r="C140" s="2" t="n">
        <v>15.65714809997007</v>
      </c>
      <c r="D140" s="2" t="n">
        <v>0</v>
      </c>
      <c r="E140" s="2" t="n">
        <v>0</v>
      </c>
      <c r="F140" s="2" t="n">
        <v>10</v>
      </c>
    </row>
    <row r="141">
      <c r="A141" s="2" t="n">
        <v>6.527653366981506</v>
      </c>
      <c r="B141" s="2" t="n">
        <v>0</v>
      </c>
      <c r="C141" s="2" t="n">
        <v>15.79691849998198</v>
      </c>
      <c r="D141" s="2" t="n">
        <v>0</v>
      </c>
      <c r="E141" s="2" t="n">
        <v>0</v>
      </c>
      <c r="F141" s="2" t="n">
        <v>10</v>
      </c>
    </row>
    <row r="142">
      <c r="A142" s="2" t="n">
        <v>6.627551839805603</v>
      </c>
      <c r="B142" s="2" t="n">
        <v>0</v>
      </c>
      <c r="C142" s="2" t="n">
        <v>15.90550130000338</v>
      </c>
      <c r="D142" s="2" t="n">
        <v>0</v>
      </c>
      <c r="E142" s="2" t="n">
        <v>0</v>
      </c>
      <c r="F142" s="2" t="n">
        <v>10</v>
      </c>
    </row>
    <row r="143">
      <c r="A143" s="2" t="n">
        <v>6.723659252296447</v>
      </c>
      <c r="B143" s="2" t="n">
        <v>0</v>
      </c>
      <c r="C143" s="2" t="n">
        <v>15.99763130000792</v>
      </c>
      <c r="D143" s="2" t="n">
        <v>0</v>
      </c>
      <c r="E143" s="2" t="n">
        <v>0</v>
      </c>
      <c r="F143" s="2" t="n">
        <v>10</v>
      </c>
    </row>
    <row r="144">
      <c r="A144" s="2" t="n">
        <v>6.835656853843689</v>
      </c>
      <c r="B144" s="2" t="n">
        <v>0</v>
      </c>
      <c r="C144" s="2" t="n">
        <v>16.13756010006182</v>
      </c>
      <c r="D144" s="2" t="n">
        <v>0</v>
      </c>
      <c r="E144" s="2" t="n">
        <v>0</v>
      </c>
      <c r="F144" s="2" t="n">
        <v>10</v>
      </c>
    </row>
    <row r="145">
      <c r="A145" s="2" t="n">
        <v>6.932328892341614</v>
      </c>
      <c r="B145" s="2" t="n">
        <v>0</v>
      </c>
      <c r="C145" s="2" t="n">
        <v>16.24534579995088</v>
      </c>
      <c r="D145" s="2" t="n">
        <v>0</v>
      </c>
      <c r="E145" s="2" t="n">
        <v>0</v>
      </c>
      <c r="F145" s="2" t="n">
        <v>10</v>
      </c>
    </row>
    <row r="146">
      <c r="A146" s="2" t="n">
        <v>7.037147677513123</v>
      </c>
      <c r="B146" s="2" t="n">
        <v>0</v>
      </c>
      <c r="C146" s="2" t="n">
        <v>16.38680710003246</v>
      </c>
      <c r="D146" s="2" t="n">
        <v>0</v>
      </c>
      <c r="E146" s="2" t="n">
        <v>0</v>
      </c>
      <c r="F146" s="2" t="n">
        <v>10</v>
      </c>
    </row>
    <row r="147">
      <c r="A147" s="2" t="n">
        <v>7.167616615577698</v>
      </c>
      <c r="B147" s="2" t="n">
        <v>0</v>
      </c>
      <c r="C147" s="2" t="n">
        <v>16.51125290000346</v>
      </c>
      <c r="D147" s="2" t="n">
        <v>0</v>
      </c>
      <c r="E147" s="2" t="n">
        <v>0</v>
      </c>
      <c r="F147" s="2" t="n">
        <v>10</v>
      </c>
    </row>
    <row r="148">
      <c r="A148" s="2" t="n">
        <v>7.257109837699891</v>
      </c>
      <c r="B148" s="2" t="n">
        <v>0</v>
      </c>
      <c r="C148" s="2" t="n">
        <v>16.61988100002054</v>
      </c>
      <c r="D148" s="2" t="n">
        <v>0</v>
      </c>
      <c r="F148" s="2" t="n">
        <v>10</v>
      </c>
    </row>
    <row r="149">
      <c r="A149" s="2" t="n">
        <v>7.363249444423675</v>
      </c>
      <c r="B149" s="2" t="n">
        <v>0</v>
      </c>
      <c r="C149" s="2" t="n">
        <v>16.74343659996521</v>
      </c>
      <c r="D149" s="2" t="n">
        <v>0</v>
      </c>
      <c r="F149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Resultados calculados Marshall</t>
        </is>
      </c>
      <c r="B1" s="5" t="n"/>
      <c r="C1" s="5" t="n"/>
      <c r="D1" s="5" t="n"/>
      <c r="E1" s="5" t="n"/>
    </row>
    <row r="2">
      <c r="A2" s="6" t="inlineStr">
        <is>
          <t>Ensayo: ensayo_20261015_151116</t>
        </is>
      </c>
    </row>
    <row r="4" ht="21" customHeight="1">
      <c r="A4" t="inlineStr">
        <is>
          <t>Estabilidad máxima (kp)</t>
        </is>
      </c>
      <c r="E4" s="7" t="n">
        <v>1991.795362594604</v>
      </c>
    </row>
    <row r="5" ht="21" customHeight="1">
      <c r="A5" t="inlineStr">
        <is>
          <t>95 % de estabilidad (kp)</t>
        </is>
      </c>
      <c r="E5" s="7" t="n">
        <v>1892</v>
      </c>
    </row>
    <row r="6" ht="21" customHeight="1">
      <c r="A6" t="inlineStr">
        <is>
          <t>Deformación a 50 kp (mm)</t>
        </is>
      </c>
      <c r="E6" s="2" t="n">
        <v>0.2</v>
      </c>
    </row>
    <row r="7" ht="21" customHeight="1">
      <c r="A7" t="inlineStr">
        <is>
          <t>Deformación al 95 % (mm)</t>
        </is>
      </c>
      <c r="E7" s="2" t="n">
        <v>1.42</v>
      </c>
    </row>
    <row r="8" ht="21" customHeight="1">
      <c r="A8" t="inlineStr">
        <is>
          <t>Deformación Marshall: d95 − d50 (mm)</t>
        </is>
      </c>
      <c r="E8" s="2" t="n">
        <v>1.22</v>
      </c>
    </row>
    <row r="9" ht="21" customHeight="1">
      <c r="A9" t="inlineStr">
        <is>
          <t>Pendiente tangente (kp/mm)</t>
        </is>
      </c>
      <c r="E9" s="2" t="n">
        <v>2063.228813815293</v>
      </c>
    </row>
    <row r="10" ht="21" customHeight="1">
      <c r="A10" t="inlineStr">
        <is>
          <t>Cero de la tangente (mm)</t>
        </is>
      </c>
      <c r="E10" s="2" t="n">
        <v>0.2010793844033587</v>
      </c>
    </row>
    <row r="11" ht="21" customHeight="1">
      <c r="A11" t="inlineStr">
        <is>
          <t>Deformación al máximo (mm)</t>
        </is>
      </c>
      <c r="E11" s="2" t="n">
        <v>1.776285186973572</v>
      </c>
    </row>
    <row r="12" ht="21" customHeight="1">
      <c r="A12" t="inlineStr">
        <is>
          <t>Deformación corregida: dmáx − cero (mm)</t>
        </is>
      </c>
      <c r="E12" s="2" t="n">
        <v>1.57</v>
      </c>
    </row>
    <row r="14">
      <c r="A14" s="8" t="inlineStr">
        <is>
          <t>Media de 10 lecturas por punto; último bloque parcial incluido</t>
        </is>
      </c>
    </row>
  </sheetData>
  <mergeCells count="10">
    <mergeCell ref="A5:D5"/>
    <mergeCell ref="A9:D9"/>
    <mergeCell ref="A8:D8"/>
    <mergeCell ref="A6:D6"/>
    <mergeCell ref="A12:D12"/>
    <mergeCell ref="A4:D4"/>
    <mergeCell ref="A14:L14"/>
    <mergeCell ref="A7:D7"/>
    <mergeCell ref="A11:D11"/>
    <mergeCell ref="A10:D10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9" t="inlineStr">
        <is>
          <t>Campo</t>
        </is>
      </c>
      <c r="B1" s="9" t="inlineStr">
        <is>
          <t>Valor</t>
        </is>
      </c>
    </row>
    <row r="2">
      <c r="A2" t="inlineStr">
        <is>
          <t>reference</t>
        </is>
      </c>
      <c r="B2" t="inlineStr">
        <is>
          <t>ensayo_20261015_151116</t>
        </is>
      </c>
    </row>
    <row r="3">
      <c r="A3" t="inlineStr">
        <is>
          <t>operator</t>
        </is>
      </c>
      <c r="B3" t="inlineStr"/>
    </row>
    <row r="4">
      <c r="A4" t="inlineStr">
        <is>
          <t>sample_id</t>
        </is>
      </c>
      <c r="B4" t="inlineStr"/>
    </row>
    <row r="5">
      <c r="A5" t="inlineStr">
        <is>
          <t>notes</t>
        </is>
      </c>
      <c r="B5" t="inlineStr">
        <is>
          <t xml:space="preserve">
Recalculado con calibración inicial conservando la misma tara física. No es una nueva adquisición.</t>
        </is>
      </c>
    </row>
    <row r="6">
      <c r="A6" t="inlineStr">
        <is>
          <t>demo</t>
        </is>
      </c>
      <c r="B6" t="inlineStr">
        <is>
          <t>False</t>
        </is>
      </c>
    </row>
    <row r="7">
      <c r="A7" t="inlineStr">
        <is>
          <t>source</t>
        </is>
      </c>
      <c r="B7" t="inlineStr">
        <is>
          <t>Adquisición</t>
        </is>
      </c>
    </row>
    <row r="8">
      <c r="A8" t="inlineStr">
        <is>
          <t>Fecha adquisición</t>
        </is>
      </c>
      <c r="B8" t="inlineStr">
        <is>
          <t>2026-10-15T14:28:59+00:00</t>
        </is>
      </c>
    </row>
    <row r="9">
      <c r="A9" t="inlineStr">
        <is>
          <t>ID ensayo</t>
        </is>
      </c>
      <c r="B9" t="inlineStr">
        <is>
          <t>0f6d1f5f-0e5b-4f57-a944-2072ec22a62f</t>
        </is>
      </c>
    </row>
    <row r="10">
      <c r="A10" t="inlineStr">
        <is>
          <t>device_description</t>
        </is>
      </c>
      <c r="B10" t="inlineStr">
        <is>
          <t>USB-4716,BID#0</t>
        </is>
      </c>
    </row>
    <row r="11">
      <c r="A11" t="inlineStr">
        <is>
          <t>logo_path</t>
        </is>
      </c>
      <c r="B11" t="inlineStr">
        <is>
          <t>assets/uc_logo_2024.png</t>
        </is>
      </c>
    </row>
    <row r="12">
      <c r="A12" t="inlineStr">
        <is>
          <t>input_mode</t>
        </is>
      </c>
      <c r="B12" t="inlineStr">
        <is>
          <t>Differential</t>
        </is>
      </c>
    </row>
    <row r="13">
      <c r="A13" t="inlineStr">
        <is>
          <t>input_range</t>
        </is>
      </c>
      <c r="B13" t="inlineStr">
        <is>
          <t>V_Neg5To5</t>
        </is>
      </c>
    </row>
    <row r="14">
      <c r="A14" t="inlineStr">
        <is>
          <t>force_channel</t>
        </is>
      </c>
      <c r="B14" t="inlineStr">
        <is>
          <t>0</t>
        </is>
      </c>
    </row>
    <row r="15">
      <c r="A15" t="inlineStr">
        <is>
          <t>deformation_channel</t>
        </is>
      </c>
      <c r="B15" t="inlineStr">
        <is>
          <t>2</t>
        </is>
      </c>
    </row>
    <row r="16">
      <c r="A16" t="inlineStr">
        <is>
          <t>force_factor_kp_per_v</t>
        </is>
      </c>
      <c r="B16" t="inlineStr">
        <is>
          <t>-1970.57</t>
        </is>
      </c>
    </row>
    <row r="17">
      <c r="A17" t="inlineStr">
        <is>
          <t>force_offset_kp</t>
        </is>
      </c>
      <c r="B17" t="inlineStr">
        <is>
          <t>0.0</t>
        </is>
      </c>
    </row>
    <row r="18">
      <c r="A18" t="inlineStr">
        <is>
          <t>deformation_factor_mm_per_v</t>
        </is>
      </c>
      <c r="B18" t="inlineStr">
        <is>
          <t>2.643095</t>
        </is>
      </c>
    </row>
    <row r="19">
      <c r="A19" t="inlineStr">
        <is>
          <t>deformation_offset_mm</t>
        </is>
      </c>
      <c r="B19" t="inlineStr">
        <is>
          <t>0.0</t>
        </is>
      </c>
    </row>
    <row r="20">
      <c r="A20" t="inlineStr">
        <is>
          <t>sample_hz</t>
        </is>
      </c>
      <c r="B20" t="inlineStr">
        <is>
          <t>100</t>
        </is>
      </c>
    </row>
    <row r="21">
      <c r="A21" t="inlineStr">
        <is>
          <t>display_average_samples</t>
        </is>
      </c>
      <c r="B21" t="inlineStr">
        <is>
          <t>10</t>
        </is>
      </c>
    </row>
    <row r="22">
      <c r="A22" t="inlineStr">
        <is>
          <t>tare_samples</t>
        </is>
      </c>
      <c r="B22" t="inlineStr">
        <is>
          <t>100</t>
        </is>
      </c>
    </row>
    <row r="23">
      <c r="A23" t="inlineStr">
        <is>
          <t>saturation_voltage</t>
        </is>
      </c>
      <c r="B23" t="inlineStr">
        <is>
          <t>4.95</t>
        </is>
      </c>
    </row>
    <row r="24">
      <c r="A24" t="inlineStr">
        <is>
          <t>output_directory</t>
        </is>
      </c>
      <c r="B24" t="inlineStr">
        <is>
          <t>ensayos</t>
        </is>
      </c>
    </row>
    <row r="25">
      <c r="A25" t="inlineStr">
        <is>
          <t>display_unit</t>
        </is>
      </c>
      <c r="B25" t="inlineStr">
        <is>
          <t>kp</t>
        </is>
      </c>
    </row>
    <row r="26">
      <c r="A26" t="inlineStr">
        <is>
          <t>specimen_area_mm2</t>
        </is>
      </c>
      <c r="B26" t="inlineStr">
        <is>
          <t>0.0</t>
        </is>
      </c>
    </row>
    <row r="27">
      <c r="A27" t="inlineStr">
        <is>
          <t>pinout</t>
        </is>
      </c>
      <c r="B27" t="inlineStr">
        <is>
          <t>{"legacy_force_high": 1, "legacy_force_low": 20, "legacy_deformation_high": 2, "legacy_deformation_low": 21, "usb_force_plus": 0, "usb_force_minus": 1, "usb_deformation_plus": 2, "usb_deformation_minus": 3}</t>
        </is>
      </c>
    </row>
    <row r="28">
      <c r="A28" t="inlineStr">
        <is>
          <t>calibration_history</t>
        </is>
      </c>
      <c r="B28" t="inlineStr">
        <is>
          <t>[{"date": "2026-10-09T10:17:03.688304", "method": "ring_zero_and_1mm", "demo": false, "force_at_1mm_kp": 1787.17, "deformation_reference_mm": 1.0, "zero": {"t": 30375.5162564, "vf": -0.156402587890625, "vd": -2.25128173828125, "sigma_f": 0.0009450560760200701, "sigma_d": 0.004310150880151899, "demo": false, "captured_at": "2026-10-09T10:10:30.956124"}, "one_mm": {"t": 30764.1641839, "vf": -1.07177734375, "vd": -1.471710205078125, "sigma_f": 0.0013195682322619052, "sigma_d": 0.004857017776580997, "demo": false, "captured_at": "2026-10-09T10:16:59.602752"}, "force_fit": {"factor": -1952.391617269545, "offset": -305.3591015169195, "r2": 1.0, "max_error": 0.0, "residuals": [0.0, 0.0]}, "deformation_fit": {"factor": 1.28275592092386, "offset": 2.887844979448033, "r2": 1.0, "max_error": 2.220446049250313e-16, "residuals": [0.0, -2.220446049250313e-16]}}, {"date": "2026-10-15T10:15:09.068578+02:00", "method": "restore_previous_deformation", "sensor": "Deformación (mm)", "source": "git HEAD:config.json", "previous_calibration": {"deformation_factor_mm_per_v": 1.28275592092386, "deformation_offset_mm": 2.887844979448033}, "restored_calibration": {"deformation_factor_mm_per_v": 2.643095, "deformation_offset_mm": 0.0}}]</t>
        </is>
      </c>
    </row>
    <row r="29">
      <c r="A29" t="inlineStr">
        <is>
          <t>stable_zero</t>
        </is>
      </c>
      <c r="B29" t="inlineStr">
        <is>
          <t>{"enabled": false, "noise_sigma_multiplier": 5, "confirmation_seconds": 0.3}</t>
        </is>
      </c>
    </row>
    <row r="30">
      <c r="A30" t="inlineStr">
        <is>
          <t>display_processing</t>
        </is>
      </c>
      <c r="B30" t="inlineStr">
        <is>
          <t>Kalman</t>
        </is>
      </c>
    </row>
    <row r="31">
      <c r="A31" t="inlineStr">
        <is>
          <t>deformation_processing</t>
        </is>
      </c>
      <c r="B31" t="inlineStr">
        <is>
          <t>filtered_running_max_deadband_0.02mm_fixed_tare</t>
        </is>
      </c>
    </row>
    <row r="32">
      <c r="A32" t="inlineStr">
        <is>
          <t>legacy_processing</t>
        </is>
      </c>
      <c r="B32" t="inlineStr">
        <is>
          <t>{"block_samples": 10, "tare_samples": 100, "export_held_samples": 10, "truncation": "floor"}</t>
        </is>
      </c>
    </row>
    <row r="33">
      <c r="A33" t="inlineStr">
        <is>
          <t>tare_statistics</t>
        </is>
      </c>
      <c r="B33" t="inlineStr">
        <is>
          <t>{"stability": {"method": "trimmed_mean_10_percent_each_tail", "samples": 100, "duration_s": 1.0294284999836236, "channels": [{"mean_v": -0.16239356994628906, "std_v": 0.0012139209028115498, "drift_v": 1.4532180059534383e-05}, {"mean_v": 1.7925529479980469, "std_v": 0.004179818750371745, "drift_v": 0.00030517578125}]}, "method": "legacy_mean_100", "samples": 100, "duration_s": 1.0294284999836236, "channels": [{"mean_v": -0.16237030029296876}, {"mean_v": 1.7926895141601562}]}</t>
        </is>
      </c>
    </row>
    <row r="34">
      <c r="A34" t="inlineStr">
        <is>
          <t>zero_force_v</t>
        </is>
      </c>
      <c r="B34" t="inlineStr">
        <is>
          <t>-0.16237030029296876</t>
        </is>
      </c>
    </row>
    <row r="35">
      <c r="A35" t="inlineStr">
        <is>
          <t>zero_deform_v</t>
        </is>
      </c>
      <c r="B35" t="inlineStr">
        <is>
          <t>1.7926895141601562</t>
        </is>
      </c>
    </row>
    <row r="36">
      <c r="A36" t="inlineStr">
        <is>
          <t>rupture_estimate</t>
        </is>
      </c>
      <c r="B36" t="inlineStr">
        <is>
          <t>{"index": 1024, "t": 11.453156600007787, "confirmed_at": 12.467327999998815, "force_kp": 1904.8490210834761, "drop_kp": 190.36726218590957, "method": "mean_1s_drop_10pct_6sigma_0.5s"}</t>
        </is>
      </c>
    </row>
    <row r="37">
      <c r="A37" t="inlineStr">
        <is>
          <t>calibration_comparison</t>
        </is>
      </c>
      <c r="B37" t="inlineStr">
        <is>
          <t>{"method": "same_physical_tare", "source_session_id": "0f6d1f5f-0e5b-4f57-a944-2072ec22a62f", "scenario": "Calibración inicial"}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2026-10-15T14:46:56Z</dcterms:created>
  <dcterms:modified xsi:type="dcterms:W3CDTF">2026-10-15T14:46:56Z</dcterms:modified>
</cp:coreProperties>
</file>