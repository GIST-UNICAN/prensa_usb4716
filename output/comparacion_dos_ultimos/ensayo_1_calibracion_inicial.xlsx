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sultados Marshall" sheetId="1" state="visible" r:id="rId1"/>
    <sheet name="Gráfico Marshall" sheetId="2" state="visible" r:id="rId2"/>
    <sheet name="Configuración" sheetId="3" state="visible" r:id="rId3"/>
  </sheets>
  <definedNames>
    <definedName name="_xlnm.Print_Area" localSheetId="1">'Gráfico Marshall'!$A$1:$N$43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4505B"/>
      <sz val="15"/>
    </font>
    <font>
      <color rgb="0055636B"/>
      <sz val="10"/>
    </font>
    <font>
      <i val="1"/>
      <color rgb="0055636B"/>
      <sz val="10"/>
    </font>
  </fonts>
  <fills count="4">
    <fill>
      <patternFill/>
    </fill>
    <fill>
      <patternFill patternType="gray125"/>
    </fill>
    <fill>
      <patternFill patternType="solid">
        <fgColor rgb="0014505B"/>
      </patternFill>
    </fill>
    <fill>
      <patternFill patternType="solid">
        <fgColor rgb="00115E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Fuerza–deformación y tangente</a:t>
            </a:r>
          </a:p>
        </rich>
      </tx>
    </title>
    <plotArea>
      <scatterChart>
        <scatterStyle val="line"/>
        <ser>
          <idx val="0"/>
          <order val="0"/>
          <tx>
            <v>Ensayo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Marshall'!$A$2:$A$146</f>
            </numRef>
          </xVal>
          <yVal>
            <numRef>
              <f>'Resultados Marshall'!$B$2:$B$146</f>
            </numRef>
          </yVal>
        </ser>
        <ser>
          <idx val="1"/>
          <order val="1"/>
          <tx>
            <v>Desde carga máxima</v>
          </tx>
          <spPr>
            <a:ln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Marshall'!$A$106:$A$146</f>
            </numRef>
          </xVal>
          <yVal>
            <numRef>
              <f>'Resultados Marshall'!$B$106:$B$146</f>
            </numRef>
          </yVal>
        </ser>
        <ser>
          <idx val="2"/>
          <order val="2"/>
          <tx>
            <v>Tangente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'Resultados Marshall'!$G$17:$G$18</f>
            </numRef>
          </xVal>
          <yVal>
            <numRef>
              <f>'Resultados Marshall'!$H$17:$H$18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b"/>
        <majorGridlines/>
        <title>
          <tx>
            <rich>
              <a:bodyPr/>
              <a:p>
                <a:pPr>
                  <a:defRPr/>
                </a:pPr>
                <a:r>
                  <a:t>Deformación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Fuerza (kp)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46" customWidth="1" min="7" max="7"/>
    <col width="46" customWidth="1" min="8" max="8"/>
  </cols>
  <sheetData>
    <row r="1" ht="34" customHeight="1">
      <c r="A1" s="1" t="inlineStr">
        <is>
          <t>Deformación (mm)</t>
        </is>
      </c>
      <c r="B1" s="1" t="inlineStr">
        <is>
          <t>Carga (kp)</t>
        </is>
      </c>
      <c r="C1" s="1" t="inlineStr">
        <is>
          <t>Tiempo (s)</t>
        </is>
      </c>
      <c r="D1" s="1" t="inlineStr">
        <is>
          <t>Diferencia carga (kp)</t>
        </is>
      </c>
      <c r="E1" s="1" t="inlineStr">
        <is>
          <t>Media de 5 diferencias (kp)</t>
        </is>
      </c>
      <c r="F1" s="1" t="inlineStr">
        <is>
          <t>Lecturas por punto</t>
        </is>
      </c>
      <c r="G1" s="1" t="inlineStr">
        <is>
          <t>Resultado</t>
        </is>
      </c>
      <c r="H1" s="1" t="inlineStr">
        <is>
          <t>Valor calculado</t>
        </is>
      </c>
    </row>
    <row r="2">
      <c r="A2" s="2" t="n">
        <v>0</v>
      </c>
      <c r="B2" s="2" t="n">
        <v>1.626706497192394</v>
      </c>
      <c r="C2" s="2" t="n">
        <v>0.1105530000058934</v>
      </c>
      <c r="F2" s="2" t="n">
        <v>10</v>
      </c>
      <c r="G2" t="inlineStr">
        <is>
          <t>Estabilidad máxima (kp)</t>
        </is>
      </c>
      <c r="H2" s="2" t="n">
        <v>1768.542674972534</v>
      </c>
    </row>
    <row r="3">
      <c r="A3" s="2" t="n">
        <v>0</v>
      </c>
      <c r="B3" s="2" t="n">
        <v>1.154201309204112</v>
      </c>
      <c r="C3" s="2" t="n">
        <v>0.2184147000079975</v>
      </c>
      <c r="D3" s="2" t="n">
        <v>-0.4725051879882813</v>
      </c>
      <c r="F3" s="2" t="n">
        <v>10</v>
      </c>
      <c r="G3" t="inlineStr">
        <is>
          <t>95 % de estabilidad (kp)</t>
        </is>
      </c>
      <c r="H3" s="2" t="n">
        <v>1680</v>
      </c>
    </row>
    <row r="4">
      <c r="A4" s="2" t="n">
        <v>0</v>
      </c>
      <c r="B4" s="2" t="n">
        <v>0.8449251861572374</v>
      </c>
      <c r="C4" s="2" t="n">
        <v>0.3201769998995587</v>
      </c>
      <c r="D4" s="2" t="n">
        <v>-0.3092761230468749</v>
      </c>
      <c r="F4" s="2" t="n">
        <v>10</v>
      </c>
      <c r="G4" t="inlineStr">
        <is>
          <t>Deformación a 50 kp (mm)</t>
        </is>
      </c>
      <c r="H4" s="2" t="n">
        <v>2.18</v>
      </c>
    </row>
    <row r="5">
      <c r="A5" s="2" t="n">
        <v>0</v>
      </c>
      <c r="B5" s="2" t="n">
        <v>1.70187777709962</v>
      </c>
      <c r="C5" s="2" t="n">
        <v>0.4410618999972939</v>
      </c>
      <c r="D5" s="2" t="n">
        <v>0.8569525909423829</v>
      </c>
      <c r="E5" s="2" t="n">
        <v>0</v>
      </c>
      <c r="F5" s="2" t="n">
        <v>10</v>
      </c>
      <c r="G5" t="inlineStr">
        <is>
          <t>Deformación al 95 % (mm)</t>
        </is>
      </c>
      <c r="H5" s="2" t="n">
        <v>3.54</v>
      </c>
    </row>
    <row r="6">
      <c r="A6" s="2" t="n">
        <v>0</v>
      </c>
      <c r="B6" s="2" t="n">
        <v>1.326021377563487</v>
      </c>
      <c r="C6" s="2" t="n">
        <v>0.5448483999352902</v>
      </c>
      <c r="D6" s="2" t="n">
        <v>-0.3758563995361328</v>
      </c>
      <c r="E6" s="2" t="n">
        <v>-0.04080726623535154</v>
      </c>
      <c r="F6" s="2" t="n">
        <v>10</v>
      </c>
      <c r="G6" t="inlineStr">
        <is>
          <t>Deformación Marshall: d95 − d50 (mm)</t>
        </is>
      </c>
      <c r="H6" s="2" t="n">
        <v>1.36</v>
      </c>
    </row>
    <row r="7">
      <c r="A7" s="2" t="n">
        <v>0</v>
      </c>
      <c r="B7" s="2" t="n">
        <v>1.626706497192394</v>
      </c>
      <c r="C7" s="2" t="n">
        <v>0.6711792999412864</v>
      </c>
      <c r="D7" s="2" t="n">
        <v>0.3006851196289062</v>
      </c>
      <c r="E7" s="2" t="n">
        <v>0.130583251953125</v>
      </c>
      <c r="F7" s="2" t="n">
        <v>10</v>
      </c>
      <c r="G7" t="inlineStr">
        <is>
          <t>Pendiente tangente (kp/mm)</t>
        </is>
      </c>
      <c r="H7" s="2" t="n">
        <v>1675.44570041631</v>
      </c>
    </row>
    <row r="8">
      <c r="A8" s="2" t="n">
        <v>0</v>
      </c>
      <c r="B8" s="2" t="n">
        <v>0.9501649780273547</v>
      </c>
      <c r="C8" s="2" t="n">
        <v>0.7944895999971777</v>
      </c>
      <c r="D8" s="2" t="n">
        <v>-0.676541519165039</v>
      </c>
      <c r="E8" s="2" t="n">
        <v>-0.1127569198608398</v>
      </c>
      <c r="F8" s="2" t="n">
        <v>10</v>
      </c>
      <c r="G8" t="inlineStr">
        <is>
          <t>Cero de la tangente (mm)</t>
        </is>
      </c>
      <c r="H8" s="2" t="n">
        <v>2.182360924351125</v>
      </c>
    </row>
    <row r="9">
      <c r="A9" s="2" t="n">
        <v>0</v>
      </c>
      <c r="B9" s="2" t="n">
        <v>1.497841445922862</v>
      </c>
      <c r="C9" s="2" t="n">
        <v>0.9086716999299824</v>
      </c>
      <c r="D9" s="2" t="n">
        <v>0.5476764678955077</v>
      </c>
      <c r="E9" s="2" t="n">
        <v>0.03758563995361328</v>
      </c>
      <c r="F9" s="2" t="n">
        <v>10</v>
      </c>
      <c r="G9" t="inlineStr">
        <is>
          <t>Deformación al máximo (mm)</t>
        </is>
      </c>
      <c r="H9" s="2" t="n">
        <v>3.99537025391388</v>
      </c>
    </row>
    <row r="10">
      <c r="A10" s="2" t="n">
        <v>0</v>
      </c>
      <c r="B10" s="2" t="n">
        <v>1.138093177795421</v>
      </c>
      <c r="C10" s="2" t="n">
        <v>1.010404399945401</v>
      </c>
      <c r="D10" s="2" t="n">
        <v>-0.3597482681274413</v>
      </c>
      <c r="E10" s="2" t="n">
        <v>-0.2104795837402344</v>
      </c>
      <c r="F10" s="2" t="n">
        <v>10</v>
      </c>
      <c r="G10" t="inlineStr">
        <is>
          <t>Deformación corregida: dmáx − cero (mm)</t>
        </is>
      </c>
      <c r="H10" s="2" t="n">
        <v>1.81</v>
      </c>
    </row>
    <row r="11">
      <c r="A11" s="2" t="n">
        <v>0</v>
      </c>
      <c r="B11" s="2" t="n">
        <v>1.513949577331554</v>
      </c>
      <c r="C11" s="2" t="n">
        <v>1.119842399959452</v>
      </c>
      <c r="D11" s="2" t="n">
        <v>0.3758563995361328</v>
      </c>
      <c r="E11" s="2" t="n">
        <v>0.03221626281738281</v>
      </c>
      <c r="F11" s="2" t="n">
        <v>10</v>
      </c>
    </row>
    <row r="12">
      <c r="A12" s="2" t="n">
        <v>0</v>
      </c>
      <c r="B12" s="2" t="n">
        <v>0.5743085784912219</v>
      </c>
      <c r="C12" s="2" t="n">
        <v>1.231533499900252</v>
      </c>
      <c r="D12" s="2" t="n">
        <v>-0.939640998840332</v>
      </c>
      <c r="E12" s="2" t="n">
        <v>0.03436401367187503</v>
      </c>
      <c r="F12" s="2" t="n">
        <v>10</v>
      </c>
    </row>
    <row r="13" ht="44" customHeight="1">
      <c r="A13" s="2" t="n">
        <v>0</v>
      </c>
      <c r="B13" s="2" t="n">
        <v>1.111246292114269</v>
      </c>
      <c r="C13" s="2" t="n">
        <v>1.337618999998085</v>
      </c>
      <c r="D13" s="2" t="n">
        <v>0.5369377136230469</v>
      </c>
      <c r="E13" s="2" t="n">
        <v>-0.07517127990722657</v>
      </c>
      <c r="F13" s="2" t="n">
        <v>10</v>
      </c>
      <c r="G13" t="inlineStr">
        <is>
          <t>Método</t>
        </is>
      </c>
      <c r="H13" s="3" t="inlineStr">
        <is>
          <t>VBA original: diferencias de 5 puntos, tangente i±2, d50 y d95 interpoladas</t>
        </is>
      </c>
    </row>
    <row r="14" ht="44" customHeight="1">
      <c r="A14" s="2" t="n">
        <v>0</v>
      </c>
      <c r="B14" s="2" t="n">
        <v>1.669661514282238</v>
      </c>
      <c r="C14" s="2" t="n">
        <v>1.446619899943471</v>
      </c>
      <c r="D14" s="2" t="n">
        <v>0.5584152221679688</v>
      </c>
      <c r="E14" s="2" t="n">
        <v>-0.04510276794433597</v>
      </c>
      <c r="F14" s="2" t="n">
        <v>10</v>
      </c>
      <c r="G14" t="inlineStr">
        <is>
          <t>Preparación</t>
        </is>
      </c>
      <c r="H14" s="3" t="inlineStr">
        <is>
          <t>Media de 10 lecturas por punto; último bloque parcial incluido</t>
        </is>
      </c>
    </row>
    <row r="15">
      <c r="A15" s="2" t="n">
        <v>0</v>
      </c>
      <c r="B15" s="2" t="n">
        <v>0.7622367782592883</v>
      </c>
      <c r="C15" s="2" t="n">
        <v>1.552683499990962</v>
      </c>
      <c r="D15" s="2" t="n">
        <v>-0.9074247360229493</v>
      </c>
      <c r="E15" s="2" t="n">
        <v>0.3307536315917969</v>
      </c>
      <c r="F15" s="2" t="n">
        <v>10</v>
      </c>
    </row>
    <row r="16">
      <c r="A16" s="2" t="n">
        <v>0</v>
      </c>
      <c r="B16" s="2" t="n">
        <v>1.288435737609874</v>
      </c>
      <c r="C16" s="2" t="n">
        <v>1.660858999937773</v>
      </c>
      <c r="D16" s="2" t="n">
        <v>0.5261989593505858</v>
      </c>
      <c r="E16" s="2" t="n">
        <v>0.2033204142252604</v>
      </c>
      <c r="F16" s="2" t="n">
        <v>10</v>
      </c>
      <c r="G16" t="inlineStr">
        <is>
          <t>Tangente: deformación (mm)</t>
        </is>
      </c>
      <c r="H16" t="inlineStr">
        <is>
          <t>Tangente: carga (kp)</t>
        </is>
      </c>
    </row>
    <row r="17">
      <c r="A17" s="2" t="n">
        <v>0</v>
      </c>
      <c r="B17" s="2" t="n">
        <v>2.228076736450206</v>
      </c>
      <c r="C17" s="2" t="n">
        <v>1.801618599914946</v>
      </c>
      <c r="D17" s="2" t="n">
        <v>0.9396409988403323</v>
      </c>
      <c r="E17" s="2" t="n">
        <v>-0.06872802734375001</v>
      </c>
      <c r="F17" s="2" t="n">
        <v>10</v>
      </c>
      <c r="G17" s="2" t="n">
        <v>2.182360924351125</v>
      </c>
      <c r="H17" s="2" t="n">
        <v>0</v>
      </c>
    </row>
    <row r="18">
      <c r="A18" s="2" t="n">
        <v>0</v>
      </c>
      <c r="B18" s="2" t="n">
        <v>2.127848363240571</v>
      </c>
      <c r="C18" s="2" t="n">
        <v>1.909392699948512</v>
      </c>
      <c r="D18" s="2" t="n">
        <v>-0.1002283732096356</v>
      </c>
      <c r="E18" s="2" t="n">
        <v>0.1428254318237305</v>
      </c>
      <c r="F18" s="2" t="n">
        <v>10</v>
      </c>
      <c r="G18" s="2" t="n">
        <v>3.237926422256006</v>
      </c>
      <c r="H18" s="2" t="n">
        <v>1768.542674972534</v>
      </c>
    </row>
    <row r="19">
      <c r="A19" s="2" t="n">
        <v>0</v>
      </c>
      <c r="B19" s="2" t="n">
        <v>1.326021377563487</v>
      </c>
      <c r="C19" s="2" t="n">
        <v>2.026555799995549</v>
      </c>
      <c r="D19" s="2" t="n">
        <v>-0.8018269856770832</v>
      </c>
      <c r="E19" s="2" t="n">
        <v>-0.03257422129313148</v>
      </c>
      <c r="F19" s="2" t="n">
        <v>10</v>
      </c>
    </row>
    <row r="20">
      <c r="A20" s="2" t="n">
        <v>0</v>
      </c>
      <c r="B20" s="2" t="n">
        <v>1.476363937377941</v>
      </c>
      <c r="C20" s="2" t="n">
        <v>2.14877849991899</v>
      </c>
      <c r="D20" s="2" t="n">
        <v>0.1503425598144532</v>
      </c>
      <c r="E20" s="2" t="n">
        <v>-0.144328857421875</v>
      </c>
      <c r="F20" s="2" t="n">
        <v>10</v>
      </c>
    </row>
    <row r="21">
      <c r="A21" s="2" t="n">
        <v>0</v>
      </c>
      <c r="B21" s="2" t="n">
        <v>1.125564631144217</v>
      </c>
      <c r="C21" s="2" t="n">
        <v>2.250922199920751</v>
      </c>
      <c r="D21" s="2" t="n">
        <v>-0.350799306233724</v>
      </c>
      <c r="E21" s="2" t="n">
        <v>-0.3006851196289063</v>
      </c>
      <c r="F21" s="2" t="n">
        <v>10</v>
      </c>
    </row>
    <row r="22">
      <c r="A22" s="2" t="n">
        <v>0</v>
      </c>
      <c r="B22" s="2" t="n">
        <v>1.506432449340831</v>
      </c>
      <c r="C22" s="2" t="n">
        <v>2.375721699907444</v>
      </c>
      <c r="D22" s="2" t="n">
        <v>0.3808678181966145</v>
      </c>
      <c r="E22" s="2" t="n">
        <v>0.01202740478515625</v>
      </c>
      <c r="F22" s="2" t="n">
        <v>10</v>
      </c>
    </row>
    <row r="23">
      <c r="A23" s="2" t="n">
        <v>0</v>
      </c>
      <c r="B23" s="2" t="n">
        <v>0.6244227650960396</v>
      </c>
      <c r="C23" s="2" t="n">
        <v>2.483307499904186</v>
      </c>
      <c r="D23" s="2" t="n">
        <v>-0.8820096842447916</v>
      </c>
      <c r="E23" s="2" t="n">
        <v>-0.1954453277587891</v>
      </c>
      <c r="F23" s="2" t="n">
        <v>10</v>
      </c>
    </row>
    <row r="24">
      <c r="A24" s="2" t="n">
        <v>0</v>
      </c>
      <c r="B24" s="2" t="n">
        <v>1.386158401489269</v>
      </c>
      <c r="C24" s="2" t="n">
        <v>2.601818999974057</v>
      </c>
      <c r="D24" s="2" t="n">
        <v>0.7617356363932292</v>
      </c>
      <c r="E24" s="2" t="n">
        <v>0.02004567464192708</v>
      </c>
      <c r="F24" s="2" t="n">
        <v>10</v>
      </c>
    </row>
    <row r="25">
      <c r="A25" s="2" t="n">
        <v>0</v>
      </c>
      <c r="B25" s="2" t="n">
        <v>0.4991372985839953</v>
      </c>
      <c r="C25" s="2" t="n">
        <v>2.727697599912062</v>
      </c>
      <c r="D25" s="2" t="n">
        <v>-0.8870211029052735</v>
      </c>
      <c r="E25" s="2" t="n">
        <v>-0.04810961914062499</v>
      </c>
      <c r="F25" s="2" t="n">
        <v>10</v>
      </c>
    </row>
    <row r="26">
      <c r="A26" s="2" t="n">
        <v>0</v>
      </c>
      <c r="B26" s="2" t="n">
        <v>1.225793004353852</v>
      </c>
      <c r="C26" s="2" t="n">
        <v>2.82473959994968</v>
      </c>
      <c r="D26" s="2" t="n">
        <v>0.7266557057698568</v>
      </c>
      <c r="E26" s="2" t="n">
        <v>0.2154910024007162</v>
      </c>
      <c r="F26" s="2" t="n">
        <v>10</v>
      </c>
    </row>
    <row r="27">
      <c r="A27" s="2" t="n">
        <v>0</v>
      </c>
      <c r="B27" s="2" t="n">
        <v>1.265884353637706</v>
      </c>
      <c r="C27" s="2" t="n">
        <v>2.948435599915683</v>
      </c>
      <c r="D27" s="2" t="n">
        <v>0.04009134928385416</v>
      </c>
      <c r="E27" s="2" t="n">
        <v>0.08820096842447911</v>
      </c>
      <c r="F27" s="2" t="n">
        <v>10</v>
      </c>
    </row>
    <row r="28">
      <c r="A28" s="2" t="n">
        <v>0</v>
      </c>
      <c r="B28" s="2" t="n">
        <v>1.70187777709962</v>
      </c>
      <c r="C28" s="2" t="n">
        <v>3.05650649999734</v>
      </c>
      <c r="D28" s="2" t="n">
        <v>0.4359934234619141</v>
      </c>
      <c r="E28" s="2" t="n">
        <v>0.08805778503417969</v>
      </c>
      <c r="F28" s="2" t="n">
        <v>10</v>
      </c>
    </row>
    <row r="29">
      <c r="A29" s="2" t="n">
        <v>0</v>
      </c>
      <c r="B29" s="2" t="n">
        <v>1.827163243611664</v>
      </c>
      <c r="C29" s="2" t="n">
        <v>3.202160699991509</v>
      </c>
      <c r="D29" s="2" t="n">
        <v>0.125285466512044</v>
      </c>
      <c r="E29" s="2" t="n">
        <v>-0.05727335611979167</v>
      </c>
      <c r="F29" s="2" t="n">
        <v>10</v>
      </c>
    </row>
    <row r="30">
      <c r="A30" s="2" t="n">
        <v>0</v>
      </c>
      <c r="B30" s="2" t="n">
        <v>0.9394262237548937</v>
      </c>
      <c r="C30" s="2" t="n">
        <v>3.307790199993178</v>
      </c>
      <c r="D30" s="2" t="n">
        <v>-0.8877370198567706</v>
      </c>
      <c r="E30" s="2" t="n">
        <v>-0.0309276123046875</v>
      </c>
      <c r="F30" s="2" t="n">
        <v>10</v>
      </c>
    </row>
    <row r="31">
      <c r="A31" s="2" t="n">
        <v>0</v>
      </c>
      <c r="B31" s="2" t="n">
        <v>0.9394262237548937</v>
      </c>
      <c r="C31" s="2" t="n">
        <v>3.415635699988343</v>
      </c>
      <c r="D31" s="2" t="n">
        <v>0</v>
      </c>
      <c r="E31" s="2" t="n">
        <v>-0.2315275421142578</v>
      </c>
      <c r="F31" s="2" t="n">
        <v>10</v>
      </c>
    </row>
    <row r="32">
      <c r="A32" s="2" t="n">
        <v>0</v>
      </c>
      <c r="B32" s="2" t="n">
        <v>1.111246292114269</v>
      </c>
      <c r="C32" s="2" t="n">
        <v>3.565784499980509</v>
      </c>
      <c r="D32" s="2" t="n">
        <v>0.171820068359375</v>
      </c>
      <c r="E32" s="2" t="n">
        <v>-0.0486823527018229</v>
      </c>
      <c r="F32" s="2" t="n">
        <v>10</v>
      </c>
    </row>
    <row r="33">
      <c r="A33" s="2" t="n">
        <v>0</v>
      </c>
      <c r="B33" s="2" t="n">
        <v>0.5442400665283312</v>
      </c>
      <c r="C33" s="2" t="n">
        <v>3.665174499968998</v>
      </c>
      <c r="D33" s="2" t="n">
        <v>-0.5670062255859375</v>
      </c>
      <c r="E33" s="2" t="n">
        <v>-0.06300069173177085</v>
      </c>
      <c r="F33" s="2" t="n">
        <v>10</v>
      </c>
    </row>
    <row r="34">
      <c r="A34" s="2" t="n">
        <v>0</v>
      </c>
      <c r="B34" s="2" t="n">
        <v>1.58375148010255</v>
      </c>
      <c r="C34" s="2" t="n">
        <v>3.803426199941896</v>
      </c>
      <c r="D34" s="2" t="n">
        <v>1.039511413574219</v>
      </c>
      <c r="E34" s="2" t="n">
        <v>0.04725051879882809</v>
      </c>
      <c r="F34" s="2" t="n">
        <v>10</v>
      </c>
    </row>
    <row r="35">
      <c r="A35" s="2" t="n">
        <v>0</v>
      </c>
      <c r="B35" s="2" t="n">
        <v>0.6244227650960396</v>
      </c>
      <c r="C35" s="2" t="n">
        <v>3.912154999910854</v>
      </c>
      <c r="D35" s="2" t="n">
        <v>-0.9593287150065103</v>
      </c>
      <c r="E35" s="2" t="n">
        <v>0.08304636637369789</v>
      </c>
      <c r="F35" s="2" t="n">
        <v>10</v>
      </c>
    </row>
    <row r="36">
      <c r="A36" s="2" t="n">
        <v>0</v>
      </c>
      <c r="B36" s="2" t="n">
        <v>1.175678817749034</v>
      </c>
      <c r="C36" s="2" t="n">
        <v>4.054775199969299</v>
      </c>
      <c r="D36" s="2" t="n">
        <v>0.5512560526529947</v>
      </c>
      <c r="E36" s="2" t="n">
        <v>0.0761735636393229</v>
      </c>
      <c r="F36" s="2" t="n">
        <v>10</v>
      </c>
    </row>
    <row r="37">
      <c r="A37" s="2" t="n">
        <v>0</v>
      </c>
      <c r="B37" s="2" t="n">
        <v>1.526478123982758</v>
      </c>
      <c r="C37" s="2" t="n">
        <v>4.17621569999028</v>
      </c>
      <c r="D37" s="2" t="n">
        <v>0.350799306233724</v>
      </c>
      <c r="E37" s="2" t="n">
        <v>0.1890020751953125</v>
      </c>
      <c r="F37" s="2" t="n">
        <v>10</v>
      </c>
    </row>
    <row r="38">
      <c r="A38" s="2" t="n">
        <v>0</v>
      </c>
      <c r="B38" s="2" t="n">
        <v>0.9251078847249459</v>
      </c>
      <c r="C38" s="2" t="n">
        <v>4.282435399945825</v>
      </c>
      <c r="D38" s="2" t="n">
        <v>-0.6013702392578124</v>
      </c>
      <c r="E38" s="2" t="n">
        <v>0.2004567464192708</v>
      </c>
      <c r="F38" s="2" t="n">
        <v>10</v>
      </c>
    </row>
    <row r="39">
      <c r="A39" s="2" t="n">
        <v>0</v>
      </c>
      <c r="B39" s="2" t="n">
        <v>2.528761856079112</v>
      </c>
      <c r="C39" s="2" t="n">
        <v>4.392551500000991</v>
      </c>
      <c r="D39" s="2" t="n">
        <v>1.603653971354166</v>
      </c>
      <c r="E39" s="2" t="n">
        <v>0.06013702392578128</v>
      </c>
      <c r="F39" s="2" t="n">
        <v>10</v>
      </c>
    </row>
    <row r="40">
      <c r="A40" s="2" t="n">
        <v>0</v>
      </c>
      <c r="B40" s="2" t="n">
        <v>1.626706497192394</v>
      </c>
      <c r="C40" s="2" t="n">
        <v>4.501243299921043</v>
      </c>
      <c r="D40" s="2" t="n">
        <v>-0.9020553588867186</v>
      </c>
      <c r="E40" s="2" t="n">
        <v>-0.2004567464192708</v>
      </c>
      <c r="F40" s="2" t="n">
        <v>10</v>
      </c>
    </row>
    <row r="41">
      <c r="A41" s="2" t="n">
        <v>0</v>
      </c>
      <c r="B41" s="2" t="n">
        <v>1.476363937377941</v>
      </c>
      <c r="C41" s="2" t="n">
        <v>4.618802099954337</v>
      </c>
      <c r="D41" s="2" t="n">
        <v>-0.150342559814453</v>
      </c>
      <c r="E41" s="2" t="n">
        <v>0.03722768147786457</v>
      </c>
      <c r="F41" s="2" t="n">
        <v>10</v>
      </c>
    </row>
    <row r="42">
      <c r="A42" s="2" t="n">
        <v>0</v>
      </c>
      <c r="B42" s="2" t="n">
        <v>0.5241943918864042</v>
      </c>
      <c r="C42" s="2" t="n">
        <v>4.735707599902526</v>
      </c>
      <c r="D42" s="2" t="n">
        <v>-0.9521695454915365</v>
      </c>
      <c r="E42" s="2" t="n">
        <v>-0.3264581298828125</v>
      </c>
      <c r="F42" s="2" t="n">
        <v>10</v>
      </c>
    </row>
    <row r="43">
      <c r="A43" s="2" t="n">
        <v>0</v>
      </c>
      <c r="B43" s="2" t="n">
        <v>1.111246292114269</v>
      </c>
      <c r="C43" s="2" t="n">
        <v>4.842703599948436</v>
      </c>
      <c r="D43" s="2" t="n">
        <v>0.5870519002278646</v>
      </c>
      <c r="E43" s="2" t="n">
        <v>-0.1002283732096354</v>
      </c>
      <c r="F43" s="2" t="n">
        <v>10</v>
      </c>
    </row>
    <row r="44">
      <c r="A44" s="2" t="n">
        <v>0</v>
      </c>
      <c r="B44" s="2" t="n">
        <v>0.8964712066650499</v>
      </c>
      <c r="C44" s="2" t="n">
        <v>4.952601499971934</v>
      </c>
      <c r="D44" s="2" t="n">
        <v>-0.2147750854492189</v>
      </c>
      <c r="E44" s="2" t="n">
        <v>0.2877986145019532</v>
      </c>
      <c r="F44" s="2" t="n">
        <v>10</v>
      </c>
    </row>
    <row r="45">
      <c r="A45" s="2" t="n">
        <v>0</v>
      </c>
      <c r="B45" s="2" t="n">
        <v>1.125564631144217</v>
      </c>
      <c r="C45" s="2" t="n">
        <v>5.066269399947487</v>
      </c>
      <c r="D45" s="2" t="n">
        <v>0.2290934244791668</v>
      </c>
      <c r="E45" s="2" t="n">
        <v>0.2071386379665799</v>
      </c>
      <c r="F45" s="2" t="n">
        <v>10</v>
      </c>
    </row>
    <row r="46">
      <c r="A46" s="2" t="n">
        <v>0</v>
      </c>
      <c r="B46" s="2" t="n">
        <v>2.915357009887706</v>
      </c>
      <c r="C46" s="2" t="n">
        <v>5.169906699913554</v>
      </c>
      <c r="D46" s="2" t="n">
        <v>1.78979237874349</v>
      </c>
      <c r="E46" s="2" t="n">
        <v>0.09557491302490236</v>
      </c>
      <c r="F46" s="2" t="n">
        <v>10</v>
      </c>
    </row>
    <row r="47">
      <c r="A47" s="2" t="n">
        <v>0</v>
      </c>
      <c r="B47" s="2" t="n">
        <v>1.559887581719303</v>
      </c>
      <c r="C47" s="2" t="n">
        <v>5.30788399989251</v>
      </c>
      <c r="D47" s="2" t="n">
        <v>-1.355469428168403</v>
      </c>
      <c r="E47" s="2" t="n">
        <v>0.1460470581054688</v>
      </c>
      <c r="F47" s="2" t="n">
        <v>10</v>
      </c>
    </row>
    <row r="48">
      <c r="A48" s="2" t="n">
        <v>0</v>
      </c>
      <c r="B48" s="2" t="n">
        <v>1.58912085723878</v>
      </c>
      <c r="C48" s="2" t="n">
        <v>5.416172800003551</v>
      </c>
      <c r="D48" s="2" t="n">
        <v>0.02923327551947708</v>
      </c>
      <c r="E48" s="2" t="n">
        <v>0.1152626291910807</v>
      </c>
      <c r="F48" s="2" t="n">
        <v>10</v>
      </c>
    </row>
    <row r="49">
      <c r="A49" s="2" t="n">
        <v>0</v>
      </c>
      <c r="B49" s="2" t="n">
        <v>1.626706497192394</v>
      </c>
      <c r="C49" s="2" t="n">
        <v>5.537844299920835</v>
      </c>
      <c r="D49" s="2" t="n">
        <v>0.03758563995361319</v>
      </c>
      <c r="E49" s="2" t="n">
        <v>-0.3900315551757813</v>
      </c>
      <c r="F49" s="2" t="n">
        <v>10</v>
      </c>
    </row>
    <row r="50">
      <c r="A50" s="2" t="n">
        <v>0</v>
      </c>
      <c r="B50" s="2" t="n">
        <v>1.70187777709962</v>
      </c>
      <c r="C50" s="2" t="n">
        <v>5.634833799907938</v>
      </c>
      <c r="D50" s="2" t="n">
        <v>0.07517127990722661</v>
      </c>
      <c r="E50" s="2" t="n">
        <v>-0.1069102647569444</v>
      </c>
      <c r="F50" s="2" t="n">
        <v>10</v>
      </c>
    </row>
    <row r="51">
      <c r="A51" s="2" t="n">
        <v>0</v>
      </c>
      <c r="B51" s="2" t="n">
        <v>0.9651992340088</v>
      </c>
      <c r="C51" s="2" t="n">
        <v>5.74284429999534</v>
      </c>
      <c r="D51" s="2" t="n">
        <v>-0.7366785430908203</v>
      </c>
      <c r="E51" s="2" t="n">
        <v>-0.1578596878051758</v>
      </c>
      <c r="F51" s="2" t="n">
        <v>10</v>
      </c>
    </row>
    <row r="52">
      <c r="A52" s="2" t="n">
        <v>0</v>
      </c>
      <c r="B52" s="2" t="n">
        <v>1.025336257934581</v>
      </c>
      <c r="C52" s="2" t="n">
        <v>5.878012600005604</v>
      </c>
      <c r="D52" s="2" t="n">
        <v>0.06013702392578124</v>
      </c>
      <c r="E52" s="2" t="n">
        <v>0.0902055358886719</v>
      </c>
      <c r="F52" s="2" t="n">
        <v>10</v>
      </c>
    </row>
    <row r="53">
      <c r="A53" s="2" t="n">
        <v>0</v>
      </c>
      <c r="B53" s="2" t="n">
        <v>0.7998224182129016</v>
      </c>
      <c r="C53" s="2" t="n">
        <v>5.990794999990612</v>
      </c>
      <c r="D53" s="2" t="n">
        <v>-0.2255138397216797</v>
      </c>
      <c r="E53" s="2" t="n">
        <v>-0.03006851196289062</v>
      </c>
      <c r="F53" s="2" t="n">
        <v>10</v>
      </c>
    </row>
    <row r="54">
      <c r="A54" s="2" t="n">
        <v>0</v>
      </c>
      <c r="B54" s="2" t="n">
        <v>2.077734176635753</v>
      </c>
      <c r="C54" s="2" t="n">
        <v>6.117990399943665</v>
      </c>
      <c r="D54" s="2" t="n">
        <v>1.277911758422852</v>
      </c>
      <c r="E54" s="2" t="n">
        <v>2.220446049250313e-17</v>
      </c>
      <c r="F54" s="2" t="n">
        <v>10</v>
      </c>
    </row>
    <row r="55">
      <c r="A55" s="2" t="n">
        <v>0</v>
      </c>
      <c r="B55" s="2" t="n">
        <v>1.551535217285167</v>
      </c>
      <c r="C55" s="2" t="n">
        <v>6.224019499961287</v>
      </c>
      <c r="D55" s="2" t="n">
        <v>-0.526198959350586</v>
      </c>
      <c r="E55" s="2" t="n">
        <v>0.0501141866048177</v>
      </c>
      <c r="F55" s="2" t="n">
        <v>10</v>
      </c>
    </row>
    <row r="56">
      <c r="A56" s="2" t="n">
        <v>0</v>
      </c>
      <c r="B56" s="2" t="n">
        <v>0.9651992340088</v>
      </c>
      <c r="C56" s="2" t="n">
        <v>6.333787799929269</v>
      </c>
      <c r="D56" s="2" t="n">
        <v>-0.586335983276367</v>
      </c>
      <c r="E56" s="2" t="n">
        <v>2.220446049250313e-17</v>
      </c>
      <c r="F56" s="2" t="n">
        <v>10</v>
      </c>
    </row>
    <row r="57">
      <c r="A57" s="2" t="n">
        <v>0</v>
      </c>
      <c r="B57" s="2" t="n">
        <v>1.27590719095867</v>
      </c>
      <c r="C57" s="2" t="n">
        <v>6.490560099948198</v>
      </c>
      <c r="D57" s="2" t="n">
        <v>0.3107079569498696</v>
      </c>
      <c r="E57" s="2" t="n">
        <v>0.03006851196289067</v>
      </c>
      <c r="F57" s="2" t="n">
        <v>10</v>
      </c>
    </row>
    <row r="58">
      <c r="A58" s="2" t="n">
        <v>0</v>
      </c>
      <c r="B58" s="2" t="n">
        <v>0.7998224182129016</v>
      </c>
      <c r="C58" s="2" t="n">
        <v>6.599321599933319</v>
      </c>
      <c r="D58" s="2" t="n">
        <v>-0.4760847727457681</v>
      </c>
      <c r="E58" s="2" t="n">
        <v>0.03507993062337243</v>
      </c>
      <c r="F58" s="2" t="n">
        <v>10</v>
      </c>
    </row>
    <row r="59">
      <c r="A59" s="2" t="n">
        <v>0</v>
      </c>
      <c r="B59" s="2" t="n">
        <v>2.228076736450206</v>
      </c>
      <c r="C59" s="2" t="n">
        <v>6.723861199920066</v>
      </c>
      <c r="D59" s="2" t="n">
        <v>1.428254318237305</v>
      </c>
      <c r="E59" s="2" t="n">
        <v>0.08419183349609376</v>
      </c>
      <c r="F59" s="2" t="n">
        <v>10</v>
      </c>
    </row>
    <row r="60">
      <c r="A60" s="2" t="n">
        <v>0</v>
      </c>
      <c r="B60" s="2" t="n">
        <v>1.726934870402029</v>
      </c>
      <c r="C60" s="2" t="n">
        <v>6.833721999893896</v>
      </c>
      <c r="D60" s="2" t="n">
        <v>-0.5011418660481772</v>
      </c>
      <c r="E60" s="2" t="n">
        <v>0.03006851196289067</v>
      </c>
      <c r="F60" s="2" t="n">
        <v>10</v>
      </c>
    </row>
    <row r="61">
      <c r="A61" s="2" t="n">
        <v>0</v>
      </c>
      <c r="B61" s="2" t="n">
        <v>1.386158401489269</v>
      </c>
      <c r="C61" s="2" t="n">
        <v>6.941569199902005</v>
      </c>
      <c r="D61" s="2" t="n">
        <v>-0.3407764689127604</v>
      </c>
      <c r="E61" s="2" t="n">
        <v>0.04510276794433597</v>
      </c>
      <c r="F61" s="2" t="n">
        <v>10</v>
      </c>
    </row>
    <row r="62">
      <c r="A62" s="2" t="n">
        <v>0</v>
      </c>
      <c r="B62" s="2" t="n">
        <v>1.426249750773123</v>
      </c>
      <c r="C62" s="2" t="n">
        <v>7.08215889998246</v>
      </c>
      <c r="D62" s="2" t="n">
        <v>0.04009134928385416</v>
      </c>
      <c r="E62" s="2" t="n">
        <v>-0.1728939437866211</v>
      </c>
      <c r="F62" s="2" t="n">
        <v>10</v>
      </c>
    </row>
    <row r="63">
      <c r="A63" s="2" t="n">
        <v>0</v>
      </c>
      <c r="B63" s="2" t="n">
        <v>1.025336257934581</v>
      </c>
      <c r="C63" s="2" t="n">
        <v>7.191490900004283</v>
      </c>
      <c r="D63" s="2" t="n">
        <v>-0.4009134928385416</v>
      </c>
      <c r="E63" s="2" t="n">
        <v>-0.1503425598144531</v>
      </c>
      <c r="F63" s="2" t="n">
        <v>10</v>
      </c>
    </row>
    <row r="64">
      <c r="A64" s="2" t="n">
        <v>0</v>
      </c>
      <c r="B64" s="2" t="n">
        <v>1.363607017517101</v>
      </c>
      <c r="C64" s="2" t="n">
        <v>7.297870499896817</v>
      </c>
      <c r="D64" s="2" t="n">
        <v>0.3382707595825194</v>
      </c>
      <c r="E64" s="2" t="n">
        <v>-0.03608221435546875</v>
      </c>
      <c r="F64" s="2" t="n">
        <v>10</v>
      </c>
    </row>
    <row r="65">
      <c r="A65" s="2" t="n">
        <v>0</v>
      </c>
      <c r="B65" s="2" t="n">
        <v>0.9752220713297636</v>
      </c>
      <c r="C65" s="2" t="n">
        <v>7.421034500002861</v>
      </c>
      <c r="D65" s="2" t="n">
        <v>-0.3883849461873371</v>
      </c>
      <c r="E65" s="2" t="n">
        <v>3.948997904459635</v>
      </c>
      <c r="F65" s="2" t="n">
        <v>10</v>
      </c>
    </row>
    <row r="66">
      <c r="A66" s="2" t="n">
        <v>0.0276626413040161</v>
      </c>
      <c r="B66" s="2" t="n">
        <v>1.205747329711925</v>
      </c>
      <c r="C66" s="2" t="n">
        <v>7.528337299940176</v>
      </c>
      <c r="D66" s="2" t="n">
        <v>0.2305252583821614</v>
      </c>
      <c r="E66" s="2" t="n">
        <v>-0.2050672515869164</v>
      </c>
      <c r="F66" s="2" t="n">
        <v>10</v>
      </c>
    </row>
    <row r="67">
      <c r="A67" s="2" t="n">
        <v>0.08977150208282469</v>
      </c>
      <c r="B67" s="2" t="n">
        <v>21.1712392730713</v>
      </c>
      <c r="C67" s="2" t="n">
        <v>7.652514799963683</v>
      </c>
      <c r="D67" s="2" t="n">
        <v>19.96549194335937</v>
      </c>
      <c r="E67" s="2" t="n">
        <v>0.2330309677124021</v>
      </c>
      <c r="F67" s="2" t="n">
        <v>10</v>
      </c>
    </row>
    <row r="68">
      <c r="A68" s="2" t="n">
        <v>0.1773691940383911</v>
      </c>
      <c r="B68" s="2" t="n">
        <v>0</v>
      </c>
      <c r="C68" s="2" t="n">
        <v>7.760537699912675</v>
      </c>
      <c r="D68" s="2" t="n">
        <v>-21.1712392730713</v>
      </c>
      <c r="E68" s="2" t="n">
        <v>0.3558107248942056</v>
      </c>
      <c r="F68" s="2" t="n">
        <v>10</v>
      </c>
    </row>
    <row r="69">
      <c r="A69" s="2" t="n">
        <v>0.269443563621521</v>
      </c>
      <c r="B69" s="2" t="n">
        <v>2.528761856079112</v>
      </c>
      <c r="C69" s="2" t="n">
        <v>7.869800099986605</v>
      </c>
      <c r="D69" s="2" t="n">
        <v>2.528761856079112</v>
      </c>
      <c r="E69" s="2" t="n">
        <v>0.1443288574218748</v>
      </c>
      <c r="F69" s="2" t="n">
        <v>10</v>
      </c>
    </row>
    <row r="70">
      <c r="A70" s="2" t="n">
        <v>0.3964440847854614</v>
      </c>
      <c r="B70" s="2" t="n">
        <v>2.754275695800792</v>
      </c>
      <c r="C70" s="2" t="n">
        <v>7.985943499952555</v>
      </c>
      <c r="D70" s="2" t="n">
        <v>0.22551383972168</v>
      </c>
      <c r="E70" s="2" t="n">
        <v>-3.932961364746094</v>
      </c>
      <c r="F70" s="2" t="n">
        <v>10</v>
      </c>
    </row>
    <row r="71">
      <c r="A71" s="2" t="n">
        <v>0.512878033531189</v>
      </c>
      <c r="B71" s="2" t="n">
        <v>1.9273916168213</v>
      </c>
      <c r="C71" s="2" t="n">
        <v>8.118938199942932</v>
      </c>
      <c r="D71" s="2" t="n">
        <v>-0.8268840789794925</v>
      </c>
      <c r="E71" s="2" t="n">
        <v>1.275506277465822</v>
      </c>
      <c r="F71" s="2" t="n">
        <v>10</v>
      </c>
    </row>
    <row r="72">
      <c r="A72" s="2" t="n">
        <v>0.6322561035995484</v>
      </c>
      <c r="B72" s="2" t="n">
        <v>1.506432449340831</v>
      </c>
      <c r="C72" s="2" t="n">
        <v>8.211705199908465</v>
      </c>
      <c r="D72" s="2" t="n">
        <v>-0.4209591674804687</v>
      </c>
      <c r="E72" s="2" t="n">
        <v>-0.1683836669921875</v>
      </c>
      <c r="F72" s="2" t="n">
        <v>10</v>
      </c>
    </row>
    <row r="73">
      <c r="A73" s="2" t="n">
        <v>0.7490530262069703</v>
      </c>
      <c r="B73" s="2" t="n">
        <v>6.377531387329112</v>
      </c>
      <c r="C73" s="2" t="n">
        <v>8.350033700000495</v>
      </c>
      <c r="D73" s="2" t="n">
        <v>4.871098937988281</v>
      </c>
      <c r="E73" s="2" t="n">
        <v>-0.2054681650797527</v>
      </c>
      <c r="F73" s="2" t="n">
        <v>10</v>
      </c>
    </row>
    <row r="74">
      <c r="A74" s="2" t="n">
        <v>0.8596390627365114</v>
      </c>
      <c r="B74" s="2" t="n">
        <v>1.686843521118175</v>
      </c>
      <c r="C74" s="2" t="n">
        <v>8.457646499969997</v>
      </c>
      <c r="D74" s="2" t="n">
        <v>-4.690687866210937</v>
      </c>
      <c r="E74" s="2" t="n">
        <v>-0.0801826985677084</v>
      </c>
      <c r="F74" s="2" t="n">
        <v>10</v>
      </c>
    </row>
    <row r="75">
      <c r="A75" s="2" t="n">
        <v>0.9720802990036012</v>
      </c>
      <c r="B75" s="2" t="n">
        <v>1.726934870402029</v>
      </c>
      <c r="C75" s="2" t="n">
        <v>8.57297929993365</v>
      </c>
      <c r="D75" s="2" t="n">
        <v>0.04009134928385416</v>
      </c>
      <c r="E75" s="2" t="n">
        <v>-0.09621923828125008</v>
      </c>
      <c r="F75" s="2" t="n">
        <v>10</v>
      </c>
    </row>
    <row r="76">
      <c r="A76" s="2" t="n">
        <v>1.104001132514954</v>
      </c>
      <c r="B76" s="2" t="n">
        <v>1.526478123982758</v>
      </c>
      <c r="C76" s="2" t="n">
        <v>8.690375599893741</v>
      </c>
      <c r="D76" s="2" t="n">
        <v>-0.200456746419271</v>
      </c>
      <c r="E76" s="2" t="n">
        <v>-0.9261101684570313</v>
      </c>
      <c r="F76" s="2" t="n">
        <v>10</v>
      </c>
    </row>
    <row r="77">
      <c r="A77" s="2" t="n">
        <v>1.205835465934754</v>
      </c>
      <c r="B77" s="2" t="n">
        <v>1.025336257934581</v>
      </c>
      <c r="C77" s="2" t="n">
        <v>8.799666499951854</v>
      </c>
      <c r="D77" s="2" t="n">
        <v>-0.501141866048177</v>
      </c>
      <c r="E77" s="2" t="n">
        <v>-0.1222786153157553</v>
      </c>
      <c r="F77" s="2" t="n">
        <v>10</v>
      </c>
    </row>
    <row r="78">
      <c r="A78" s="2" t="n">
        <v>1.31154152054596</v>
      </c>
      <c r="B78" s="2" t="n">
        <v>1.746980545043956</v>
      </c>
      <c r="C78" s="2" t="n">
        <v>8.933184299967252</v>
      </c>
      <c r="D78" s="2" t="n">
        <v>0.7216442871093749</v>
      </c>
      <c r="E78" s="2" t="n">
        <v>-0.02004567464192713</v>
      </c>
      <c r="F78" s="2" t="n">
        <v>10</v>
      </c>
    </row>
    <row r="79">
      <c r="A79" s="2" t="n">
        <v>1.43458965966034</v>
      </c>
      <c r="B79" s="2" t="n">
        <v>1.075450444539399</v>
      </c>
      <c r="C79" s="2" t="n">
        <v>9.03711709997151</v>
      </c>
      <c r="D79" s="2" t="n">
        <v>-0.6715301005045573</v>
      </c>
      <c r="E79" s="2" t="n">
        <v>0.3928952229817708</v>
      </c>
      <c r="F79" s="2" t="n">
        <v>10</v>
      </c>
    </row>
    <row r="80">
      <c r="A80" s="2" t="n">
        <v>1.521663056037903</v>
      </c>
      <c r="B80" s="2" t="n">
        <v>1.626706497192394</v>
      </c>
      <c r="C80" s="2" t="n">
        <v>9.143949599936604</v>
      </c>
      <c r="D80" s="2" t="n">
        <v>0.5512560526529948</v>
      </c>
      <c r="E80" s="2" t="n">
        <v>0.1202740478515625</v>
      </c>
      <c r="F80" s="2" t="n">
        <v>10</v>
      </c>
    </row>
    <row r="81">
      <c r="A81" s="2" t="n">
        <v>1.658826845329285</v>
      </c>
      <c r="B81" s="2" t="n">
        <v>3.490954238891612</v>
      </c>
      <c r="C81" s="2" t="n">
        <v>9.283717799931765</v>
      </c>
      <c r="D81" s="2" t="n">
        <v>1.864247741699218</v>
      </c>
      <c r="E81" s="2" t="n">
        <v>0.3127125244140626</v>
      </c>
      <c r="F81" s="2" t="n">
        <v>10</v>
      </c>
    </row>
    <row r="82">
      <c r="A82" s="2" t="n">
        <v>1.772276342323303</v>
      </c>
      <c r="B82" s="2" t="n">
        <v>1.626706497192394</v>
      </c>
      <c r="C82" s="2" t="n">
        <v>9.391961299930699</v>
      </c>
      <c r="D82" s="2" t="n">
        <v>-1.864247741699218</v>
      </c>
      <c r="E82" s="2" t="n">
        <v>2.816417287190755</v>
      </c>
      <c r="F82" s="2" t="n">
        <v>10</v>
      </c>
    </row>
    <row r="83">
      <c r="A83" s="2" t="n">
        <v>1.882620396278381</v>
      </c>
      <c r="B83" s="2" t="n">
        <v>3.310543167114269</v>
      </c>
      <c r="C83" s="2" t="n">
        <v>9.521768999984488</v>
      </c>
      <c r="D83" s="2" t="n">
        <v>1.683836669921875</v>
      </c>
      <c r="E83" s="2" t="n">
        <v>3.542070709228516</v>
      </c>
      <c r="F83" s="2" t="n">
        <v>10</v>
      </c>
    </row>
    <row r="84">
      <c r="A84" s="2" t="n">
        <v>1.97711459160614</v>
      </c>
      <c r="B84" s="2" t="n">
        <v>15.15753688049317</v>
      </c>
      <c r="C84" s="2" t="n">
        <v>9.64532429992687</v>
      </c>
      <c r="D84" s="2" t="n">
        <v>11.8469937133789</v>
      </c>
      <c r="E84" s="2" t="n">
        <v>6.50682598876953</v>
      </c>
      <c r="F84" s="2" t="n">
        <v>10</v>
      </c>
    </row>
    <row r="85">
      <c r="A85" s="2" t="n">
        <v>2.051564563682557</v>
      </c>
      <c r="B85" s="2" t="n">
        <v>19.33706004333497</v>
      </c>
      <c r="C85" s="2" t="n">
        <v>9.748130599968135</v>
      </c>
      <c r="D85" s="2" t="n">
        <v>4.179523162841798</v>
      </c>
      <c r="E85" s="2" t="n">
        <v>15.29885888671875</v>
      </c>
      <c r="F85" s="2" t="n">
        <v>10</v>
      </c>
    </row>
    <row r="86">
      <c r="A86" s="2" t="n">
        <v>2.151140393074036</v>
      </c>
      <c r="B86" s="2" t="n">
        <v>36.02508418273926</v>
      </c>
      <c r="C86" s="2" t="n">
        <v>9.886336399940774</v>
      </c>
      <c r="D86" s="2" t="n">
        <v>16.68802413940429</v>
      </c>
      <c r="E86" s="2" t="n">
        <v>33.62261007690429</v>
      </c>
      <c r="F86" s="2" t="n">
        <v>10</v>
      </c>
    </row>
    <row r="87">
      <c r="A87" s="2" t="n">
        <v>2.248256066291809</v>
      </c>
      <c r="B87" s="2" t="n">
        <v>78.12100093078615</v>
      </c>
      <c r="C87" s="2" t="n">
        <v>9.993534299894236</v>
      </c>
      <c r="D87" s="2" t="n">
        <v>42.09591674804689</v>
      </c>
      <c r="E87" s="2" t="n">
        <v>57.41281674194335</v>
      </c>
      <c r="F87" s="2" t="n">
        <v>10</v>
      </c>
    </row>
    <row r="88">
      <c r="A88" s="2" t="n">
        <v>2.322907690513611</v>
      </c>
      <c r="B88" s="2" t="n">
        <v>171.4235935516357</v>
      </c>
      <c r="C88" s="2" t="n">
        <v>10.14502409996931</v>
      </c>
      <c r="D88" s="2" t="n">
        <v>93.30259262084959</v>
      </c>
      <c r="E88" s="2" t="n">
        <v>77.13174688720703</v>
      </c>
      <c r="F88" s="2" t="n">
        <v>10</v>
      </c>
    </row>
    <row r="89">
      <c r="A89" s="2" t="n">
        <v>2.397518984306336</v>
      </c>
      <c r="B89" s="2" t="n">
        <v>302.2216205902099</v>
      </c>
      <c r="C89" s="2" t="n">
        <v>10.24074309994467</v>
      </c>
      <c r="D89" s="2" t="n">
        <v>130.7980270385742</v>
      </c>
      <c r="E89" s="2" t="n">
        <v>101.8901596374512</v>
      </c>
      <c r="F89" s="2" t="n">
        <v>10</v>
      </c>
    </row>
    <row r="90">
      <c r="A90" s="2" t="n">
        <v>2.444786247184754</v>
      </c>
      <c r="B90" s="2" t="n">
        <v>404.9957944793701</v>
      </c>
      <c r="C90" s="2" t="n">
        <v>10.34771229990292</v>
      </c>
      <c r="D90" s="2" t="n">
        <v>102.7741738891602</v>
      </c>
      <c r="E90" s="2" t="n">
        <v>119.2817869567871</v>
      </c>
      <c r="F90" s="2" t="n">
        <v>10</v>
      </c>
    </row>
    <row r="91">
      <c r="A91" s="2" t="n">
        <v>2.505967508094788</v>
      </c>
      <c r="B91" s="2" t="n">
        <v>545.4758823699951</v>
      </c>
      <c r="C91" s="2" t="n">
        <v>10.48698089993559</v>
      </c>
      <c r="D91" s="2" t="n">
        <v>140.480087890625</v>
      </c>
      <c r="E91" s="2" t="n">
        <v>126.0472021484375</v>
      </c>
      <c r="F91" s="2" t="n">
        <v>10</v>
      </c>
    </row>
    <row r="92">
      <c r="A92" s="2" t="n">
        <v>2.590863061302185</v>
      </c>
      <c r="B92" s="2" t="n">
        <v>674.5299357147217</v>
      </c>
      <c r="C92" s="2" t="n">
        <v>10.59522949997336</v>
      </c>
      <c r="D92" s="2" t="n">
        <v>129.0540533447265</v>
      </c>
      <c r="E92" s="2" t="n">
        <v>132.6081514587402</v>
      </c>
      <c r="F92" s="2" t="n">
        <v>10</v>
      </c>
    </row>
    <row r="93">
      <c r="A93" s="2" t="n">
        <v>2.660836355751038</v>
      </c>
      <c r="B93" s="2" t="n">
        <v>801.6596042938232</v>
      </c>
      <c r="C93" s="2" t="n">
        <v>10.73397919989657</v>
      </c>
      <c r="D93" s="2" t="n">
        <v>127.1296685791016</v>
      </c>
      <c r="E93" s="2" t="n">
        <v>137.4130996704101</v>
      </c>
      <c r="F93" s="2" t="n">
        <v>10</v>
      </c>
    </row>
    <row r="94">
      <c r="A94" s="2" t="n">
        <v>2.758435994117737</v>
      </c>
      <c r="B94" s="2" t="n">
        <v>965.262377883911</v>
      </c>
      <c r="C94" s="2" t="n">
        <v>10.85685949993785</v>
      </c>
      <c r="D94" s="2" t="n">
        <v>163.6027735900877</v>
      </c>
      <c r="E94" s="2" t="n">
        <v>135.3443860473632</v>
      </c>
      <c r="F94" s="2" t="n">
        <v>10</v>
      </c>
    </row>
    <row r="95">
      <c r="A95" s="2" t="n">
        <v>2.832200348899841</v>
      </c>
      <c r="B95" s="2" t="n">
        <v>1092.061292831421</v>
      </c>
      <c r="C95" s="2" t="n">
        <v>10.96489429997746</v>
      </c>
      <c r="D95" s="2" t="n">
        <v>126.7989149475098</v>
      </c>
      <c r="E95" s="2" t="n">
        <v>131.2731095275878</v>
      </c>
      <c r="F95" s="2" t="n">
        <v>10</v>
      </c>
    </row>
    <row r="96">
      <c r="A96" s="2" t="n">
        <v>2.931493865287781</v>
      </c>
      <c r="B96" s="2" t="n">
        <v>1222.197812606811</v>
      </c>
      <c r="C96" s="2" t="n">
        <v>11.11588679999113</v>
      </c>
      <c r="D96" s="2" t="n">
        <v>130.1365197753905</v>
      </c>
      <c r="E96" s="2" t="n">
        <v>121.5609801635742</v>
      </c>
      <c r="F96" s="2" t="n">
        <v>10</v>
      </c>
    </row>
    <row r="97">
      <c r="A97" s="2" t="n">
        <v>3.019656183250427</v>
      </c>
      <c r="B97" s="2" t="n">
        <v>1330.895483352661</v>
      </c>
      <c r="C97" s="2" t="n">
        <v>11.2304588999832</v>
      </c>
      <c r="D97" s="2" t="n">
        <v>108.6976707458496</v>
      </c>
      <c r="E97" s="2" t="n">
        <v>106.9777518615723</v>
      </c>
      <c r="F97" s="2" t="n">
        <v>10</v>
      </c>
    </row>
    <row r="98">
      <c r="A98" s="2" t="n">
        <v>3.111004605110169</v>
      </c>
      <c r="B98" s="2" t="n">
        <v>1409.464505111694</v>
      </c>
      <c r="C98" s="2" t="n">
        <v>11.35824380000122</v>
      </c>
      <c r="D98" s="2" t="n">
        <v>78.56902175903338</v>
      </c>
      <c r="E98" s="2" t="n">
        <v>94.72784008789063</v>
      </c>
      <c r="F98" s="2" t="n">
        <v>10</v>
      </c>
    </row>
    <row r="99">
      <c r="A99" s="2" t="n">
        <v>3.237198517692566</v>
      </c>
      <c r="B99" s="2" t="n">
        <v>1500.151137191772</v>
      </c>
      <c r="C99" s="2" t="n">
        <v>11.50684689998161</v>
      </c>
      <c r="D99" s="2" t="n">
        <v>90.6866320800782</v>
      </c>
      <c r="E99" s="2" t="n">
        <v>81.15491378784182</v>
      </c>
      <c r="F99" s="2" t="n">
        <v>10</v>
      </c>
    </row>
    <row r="100">
      <c r="A100" s="2" t="n">
        <v>3.326409426811218</v>
      </c>
      <c r="B100" s="2" t="n">
        <v>1565.700493270874</v>
      </c>
      <c r="C100" s="2" t="n">
        <v>11.60664719995111</v>
      </c>
      <c r="D100" s="2" t="n">
        <v>65.54935607910147</v>
      </c>
      <c r="E100" s="2" t="n">
        <v>68.80276907348635</v>
      </c>
      <c r="F100" s="2" t="n">
        <v>10</v>
      </c>
    </row>
    <row r="101">
      <c r="A101" s="2" t="n">
        <v>3.430381272972107</v>
      </c>
      <c r="B101" s="2" t="n">
        <v>1627.97238154602</v>
      </c>
      <c r="C101" s="2" t="n">
        <v>11.74589599994943</v>
      </c>
      <c r="D101" s="2" t="n">
        <v>62.27188827514647</v>
      </c>
      <c r="E101" s="2" t="n">
        <v>59.51159887695312</v>
      </c>
      <c r="F101" s="2" t="n">
        <v>10</v>
      </c>
    </row>
    <row r="102">
      <c r="A102" s="2" t="n">
        <v>3.53528071900177</v>
      </c>
      <c r="B102" s="2" t="n">
        <v>1674.909328720093</v>
      </c>
      <c r="C102" s="2" t="n">
        <v>11.8542283999268</v>
      </c>
      <c r="D102" s="2" t="n">
        <v>46.9369471740722</v>
      </c>
      <c r="E102" s="2" t="n">
        <v>47.96529028320315</v>
      </c>
      <c r="F102" s="2" t="n">
        <v>10</v>
      </c>
    </row>
    <row r="103">
      <c r="A103" s="2" t="n">
        <v>3.623886671684265</v>
      </c>
      <c r="B103" s="2" t="n">
        <v>1707.02249949646</v>
      </c>
      <c r="C103" s="2" t="n">
        <v>11.96469369996339</v>
      </c>
      <c r="D103" s="2" t="n">
        <v>32.11317077636727</v>
      </c>
      <c r="E103" s="2" t="n">
        <v>37.79611953735353</v>
      </c>
      <c r="F103" s="2" t="n">
        <v>10</v>
      </c>
    </row>
    <row r="104">
      <c r="A104" s="2" t="n">
        <v>3.74955628868866</v>
      </c>
      <c r="B104" s="2" t="n">
        <v>1739.977588607788</v>
      </c>
      <c r="C104" s="2" t="n">
        <v>12.11913719994482</v>
      </c>
      <c r="D104" s="2" t="n">
        <v>32.95508911132833</v>
      </c>
      <c r="E104" s="2" t="n">
        <v>28.11405868530278</v>
      </c>
      <c r="F104" s="2" t="n">
        <v>10</v>
      </c>
    </row>
    <row r="105">
      <c r="A105" s="2" t="n">
        <v>3.861352238090515</v>
      </c>
      <c r="B105" s="2" t="n">
        <v>1754.681090957642</v>
      </c>
      <c r="C105" s="2" t="n">
        <v>12.24161209992599</v>
      </c>
      <c r="D105" s="2" t="n">
        <v>14.70350234985335</v>
      </c>
      <c r="E105" s="2" t="n">
        <v>15.94232504272459</v>
      </c>
      <c r="F105" s="2" t="n">
        <v>10</v>
      </c>
    </row>
    <row r="106">
      <c r="A106" s="2" t="n">
        <v>3.99537025391388</v>
      </c>
      <c r="B106" s="2" t="n">
        <v>1768.542674972534</v>
      </c>
      <c r="C106" s="2" t="n">
        <v>12.41539139999077</v>
      </c>
      <c r="D106" s="2" t="n">
        <v>13.86158401489274</v>
      </c>
      <c r="E106" s="2" t="n">
        <v>5.514565093994179</v>
      </c>
      <c r="F106" s="2" t="n">
        <v>10</v>
      </c>
    </row>
    <row r="107">
      <c r="A107" s="2" t="n">
        <v>4.119708966758727</v>
      </c>
      <c r="B107" s="2" t="n">
        <v>1754.620953933716</v>
      </c>
      <c r="C107" s="2" t="n">
        <v>12.51089899998624</v>
      </c>
      <c r="D107" s="2" t="n">
        <v>-13.92172103881876</v>
      </c>
      <c r="E107" s="2" t="n">
        <v>-12.71296685791021</v>
      </c>
      <c r="F107" s="2" t="n">
        <v>10</v>
      </c>
    </row>
    <row r="108">
      <c r="A108" s="2" t="n">
        <v>4.238320758674622</v>
      </c>
      <c r="B108" s="2" t="n">
        <v>1734.595324966431</v>
      </c>
      <c r="C108" s="2" t="n">
        <v>12.67485959990881</v>
      </c>
      <c r="D108" s="2" t="n">
        <v>-20.02562896728477</v>
      </c>
      <c r="E108" s="2" t="n">
        <v>-27.4164692077637</v>
      </c>
      <c r="F108" s="2" t="n">
        <v>10</v>
      </c>
    </row>
    <row r="109">
      <c r="A109" s="2" t="n">
        <v>4.383711955497742</v>
      </c>
      <c r="B109" s="2" t="n">
        <v>1676.412754318237</v>
      </c>
      <c r="C109" s="2" t="n">
        <v>12.7945096999174</v>
      </c>
      <c r="D109" s="2" t="n">
        <v>-58.18257064819363</v>
      </c>
      <c r="E109" s="2" t="n">
        <v>-46.16719326782231</v>
      </c>
      <c r="F109" s="2" t="n">
        <v>10</v>
      </c>
    </row>
    <row r="110">
      <c r="A110" s="2" t="n">
        <v>4.497322774208069</v>
      </c>
      <c r="B110" s="2" t="n">
        <v>1617.598744918823</v>
      </c>
      <c r="C110" s="2" t="n">
        <v>12.89646139997058</v>
      </c>
      <c r="D110" s="2" t="n">
        <v>-58.81400939941409</v>
      </c>
      <c r="E110" s="2" t="n">
        <v>-58.94631085205074</v>
      </c>
      <c r="F110" s="2" t="n">
        <v>10</v>
      </c>
    </row>
    <row r="111">
      <c r="A111" s="2" t="n">
        <v>4.630130877159119</v>
      </c>
      <c r="B111" s="2" t="n">
        <v>1537.706708633423</v>
      </c>
      <c r="C111" s="2" t="n">
        <v>13.0402986999834</v>
      </c>
      <c r="D111" s="2" t="n">
        <v>-79.89203628540031</v>
      </c>
      <c r="E111" s="2" t="n">
        <v>-70.73316754150392</v>
      </c>
      <c r="F111" s="2" t="n">
        <v>10</v>
      </c>
    </row>
    <row r="112">
      <c r="A112" s="2" t="n">
        <v>4.748702338645935</v>
      </c>
      <c r="B112" s="2" t="n">
        <v>1459.889399673462</v>
      </c>
      <c r="C112" s="2" t="n">
        <v>13.16058819997124</v>
      </c>
      <c r="D112" s="2" t="n">
        <v>-77.81730895996088</v>
      </c>
      <c r="E112" s="2" t="n">
        <v>-76.84308917236326</v>
      </c>
      <c r="F112" s="2" t="n">
        <v>10</v>
      </c>
    </row>
    <row r="113">
      <c r="A113" s="2" t="n">
        <v>4.869169330299377</v>
      </c>
      <c r="B113" s="2" t="n">
        <v>1380.929487258911</v>
      </c>
      <c r="C113" s="2" t="n">
        <v>13.32834129990079</v>
      </c>
      <c r="D113" s="2" t="n">
        <v>-78.95991241455067</v>
      </c>
      <c r="E113" s="2" t="n">
        <v>-79.02004943847655</v>
      </c>
      <c r="F113" s="2" t="n">
        <v>10</v>
      </c>
    </row>
    <row r="114">
      <c r="A114" s="2" t="n">
        <v>5.017141674583435</v>
      </c>
      <c r="B114" s="2" t="n">
        <v>1292.197308456421</v>
      </c>
      <c r="C114" s="2" t="n">
        <v>13.43619269994088</v>
      </c>
      <c r="D114" s="2" t="n">
        <v>-88.73217880249035</v>
      </c>
      <c r="E114" s="2" t="n">
        <v>-79.74169372558595</v>
      </c>
      <c r="F114" s="2" t="n">
        <v>10</v>
      </c>
    </row>
    <row r="115">
      <c r="A115" s="2" t="n">
        <v>5.141036752708436</v>
      </c>
      <c r="B115" s="2" t="n">
        <v>1222.49849772644</v>
      </c>
      <c r="C115" s="2" t="n">
        <v>13.56995189993177</v>
      </c>
      <c r="D115" s="2" t="n">
        <v>-69.69881072998055</v>
      </c>
      <c r="E115" s="2" t="n">
        <v>-77.39033609008789</v>
      </c>
      <c r="F115" s="2" t="n">
        <v>10</v>
      </c>
    </row>
    <row r="116">
      <c r="A116" s="2" t="n">
        <v>5.285903653953552</v>
      </c>
      <c r="B116" s="2" t="n">
        <v>1138.998240005493</v>
      </c>
      <c r="C116" s="2" t="n">
        <v>13.68849809991661</v>
      </c>
      <c r="D116" s="2" t="n">
        <v>-83.50025772094727</v>
      </c>
      <c r="E116" s="2" t="n">
        <v>-76.14549969482428</v>
      </c>
      <c r="F116" s="2" t="n">
        <v>10</v>
      </c>
    </row>
    <row r="117">
      <c r="A117" s="2" t="n">
        <v>5.399595133522034</v>
      </c>
      <c r="B117" s="2" t="n">
        <v>1072.937719223022</v>
      </c>
      <c r="C117" s="2" t="n">
        <v>13.81110199994873</v>
      </c>
      <c r="D117" s="2" t="n">
        <v>-66.06052078247058</v>
      </c>
      <c r="E117" s="2" t="n">
        <v>-70.29416726684569</v>
      </c>
      <c r="F117" s="2" t="n">
        <v>10</v>
      </c>
    </row>
    <row r="118">
      <c r="A118" s="2" t="n">
        <v>5.530951341026307</v>
      </c>
      <c r="B118" s="2" t="n">
        <v>1000.20198878479</v>
      </c>
      <c r="C118" s="2" t="n">
        <v>13.98548359994311</v>
      </c>
      <c r="D118" s="2" t="n">
        <v>-72.73573043823262</v>
      </c>
      <c r="E118" s="2" t="n">
        <v>-67.66016561889646</v>
      </c>
      <c r="F118" s="2" t="n">
        <v>10</v>
      </c>
    </row>
    <row r="119">
      <c r="A119" s="2" t="n">
        <v>5.670373634346008</v>
      </c>
      <c r="B119" s="2" t="n">
        <v>940.7264721221924</v>
      </c>
      <c r="C119" s="2" t="n">
        <v>14.09167259989772</v>
      </c>
      <c r="D119" s="2" t="n">
        <v>-59.47551666259744</v>
      </c>
      <c r="E119" s="2" t="n">
        <v>-63.39645062255859</v>
      </c>
      <c r="F119" s="2" t="n">
        <v>10</v>
      </c>
    </row>
    <row r="120">
      <c r="A120" s="2" t="n">
        <v>5.787130226524353</v>
      </c>
      <c r="B120" s="2" t="n">
        <v>884.197669631958</v>
      </c>
      <c r="C120" s="2" t="n">
        <v>14.26320960000157</v>
      </c>
      <c r="D120" s="2" t="n">
        <v>-56.5288024902344</v>
      </c>
      <c r="E120" s="2" t="n">
        <v>-57.89992663574221</v>
      </c>
      <c r="F120" s="2" t="n">
        <v>10</v>
      </c>
    </row>
    <row r="121">
      <c r="A121" s="2" t="n">
        <v>5.94091015259552</v>
      </c>
      <c r="B121" s="2" t="n">
        <v>822.0159868927001</v>
      </c>
      <c r="C121" s="2" t="n">
        <v>14.38401739997789</v>
      </c>
      <c r="D121" s="2" t="n">
        <v>-62.18168273925789</v>
      </c>
      <c r="E121" s="2" t="n">
        <v>-53.74445828247067</v>
      </c>
      <c r="F121" s="2" t="n">
        <v>10</v>
      </c>
    </row>
    <row r="122">
      <c r="A122" s="2" t="n">
        <v>6.044881998756408</v>
      </c>
      <c r="B122" s="2" t="n">
        <v>783.4380860443114</v>
      </c>
      <c r="C122" s="2" t="n">
        <v>14.48166209994815</v>
      </c>
      <c r="D122" s="2" t="n">
        <v>-38.57790084838871</v>
      </c>
      <c r="E122" s="2" t="n">
        <v>-50.46097677612306</v>
      </c>
      <c r="F122" s="2" t="n">
        <v>10</v>
      </c>
    </row>
    <row r="123">
      <c r="A123" s="2" t="n">
        <v>6.181198849037171</v>
      </c>
      <c r="B123" s="2" t="n">
        <v>731.4796973724365</v>
      </c>
      <c r="C123" s="2" t="n">
        <v>14.65420439990703</v>
      </c>
      <c r="D123" s="2" t="n">
        <v>-51.9583886718749</v>
      </c>
      <c r="E123" s="2" t="n">
        <v>-46.02887811279297</v>
      </c>
      <c r="F123" s="2" t="n">
        <v>10</v>
      </c>
    </row>
    <row r="124">
      <c r="A124" s="2" t="n">
        <v>6.309852917793274</v>
      </c>
      <c r="B124" s="2" t="n">
        <v>688.4215882415771</v>
      </c>
      <c r="C124" s="2" t="n">
        <v>14.76200549991336</v>
      </c>
      <c r="D124" s="2" t="n">
        <v>-43.05810913085941</v>
      </c>
      <c r="E124" s="2" t="n">
        <v>-42.99195840454102</v>
      </c>
      <c r="F124" s="2" t="n">
        <v>10</v>
      </c>
    </row>
    <row r="125">
      <c r="A125" s="2" t="n">
        <v>6.418745076301574</v>
      </c>
      <c r="B125" s="2" t="n">
        <v>654.0532790679931</v>
      </c>
      <c r="C125" s="2" t="n">
        <v>14.88063429994509</v>
      </c>
      <c r="D125" s="2" t="n">
        <v>-34.36830917358395</v>
      </c>
      <c r="E125" s="2" t="n">
        <v>-43.09419134521484</v>
      </c>
      <c r="F125" s="2" t="n">
        <v>10</v>
      </c>
    </row>
    <row r="126">
      <c r="A126" s="2" t="n">
        <v>6.567564359596252</v>
      </c>
      <c r="B126" s="2" t="n">
        <v>607.056194869995</v>
      </c>
      <c r="C126" s="2" t="n">
        <v>15.01026329991873</v>
      </c>
      <c r="D126" s="2" t="n">
        <v>-46.99708419799811</v>
      </c>
      <c r="E126" s="2" t="n">
        <v>-41.80725903320312</v>
      </c>
      <c r="F126" s="2" t="n">
        <v>10</v>
      </c>
    </row>
    <row r="127">
      <c r="A127" s="2" t="n">
        <v>6.691338446434021</v>
      </c>
      <c r="B127" s="2" t="n">
        <v>567.9671293182372</v>
      </c>
      <c r="C127" s="2" t="n">
        <v>15.11987699999008</v>
      </c>
      <c r="D127" s="2" t="n">
        <v>-39.08906555175781</v>
      </c>
      <c r="E127" s="2" t="n">
        <v>-41.19386138916015</v>
      </c>
      <c r="F127" s="2" t="n">
        <v>10</v>
      </c>
    </row>
    <row r="128">
      <c r="A128" s="2" t="n">
        <v>6.817451698158264</v>
      </c>
      <c r="B128" s="2" t="n">
        <v>522.4434022064208</v>
      </c>
      <c r="C128" s="2" t="n">
        <v>15.29302619991358</v>
      </c>
      <c r="D128" s="2" t="n">
        <v>-45.52372711181636</v>
      </c>
      <c r="E128" s="2" t="n">
        <v>-40.80297073364257</v>
      </c>
      <c r="F128" s="2" t="n">
        <v>10</v>
      </c>
    </row>
    <row r="129">
      <c r="A129" s="2" t="n">
        <v>6.941024132850647</v>
      </c>
      <c r="B129" s="2" t="n">
        <v>482.4522812957763</v>
      </c>
      <c r="C129" s="2" t="n">
        <v>15.4007429999765</v>
      </c>
      <c r="D129" s="2" t="n">
        <v>-39.9911209106445</v>
      </c>
      <c r="E129" s="2" t="n">
        <v>-39.15521627807615</v>
      </c>
      <c r="F129" s="2" t="n">
        <v>10</v>
      </c>
    </row>
    <row r="130">
      <c r="A130" s="2" t="n">
        <v>7.059635924766541</v>
      </c>
      <c r="B130" s="2" t="n">
        <v>450.0384253997803</v>
      </c>
      <c r="C130" s="2" t="n">
        <v>15.53842100000475</v>
      </c>
      <c r="D130" s="2" t="n">
        <v>-32.41385589599605</v>
      </c>
      <c r="E130" s="2" t="n">
        <v>-36.79784494018553</v>
      </c>
      <c r="F130" s="2" t="n">
        <v>10</v>
      </c>
    </row>
    <row r="131">
      <c r="A131" s="2" t="n">
        <v>7.210471729515076</v>
      </c>
      <c r="B131" s="2" t="n">
        <v>411.2801134796143</v>
      </c>
      <c r="C131" s="2" t="n">
        <v>15.69076539995149</v>
      </c>
      <c r="D131" s="2" t="n">
        <v>-38.75831192016602</v>
      </c>
      <c r="E131" s="2" t="n">
        <v>-32.99718502807616</v>
      </c>
      <c r="F131" s="2" t="n">
        <v>10</v>
      </c>
    </row>
    <row r="132">
      <c r="A132" s="2" t="n">
        <v>7.323961556938171</v>
      </c>
      <c r="B132" s="2" t="n">
        <v>383.9779046173095</v>
      </c>
      <c r="C132" s="2" t="n">
        <v>15.78614599991124</v>
      </c>
      <c r="D132" s="2" t="n">
        <v>-27.30220886230472</v>
      </c>
      <c r="E132" s="2" t="n">
        <v>-30.73603292846679</v>
      </c>
      <c r="F132" s="2" t="n">
        <v>10</v>
      </c>
    </row>
    <row r="133">
      <c r="A133" s="2" t="n">
        <v>7.450599104240418</v>
      </c>
      <c r="B133" s="2" t="n">
        <v>357.45747706604</v>
      </c>
      <c r="C133" s="2" t="n">
        <v>15.93441729992628</v>
      </c>
      <c r="D133" s="2" t="n">
        <v>-26.52042755126951</v>
      </c>
      <c r="E133" s="2" t="n">
        <v>-27.57282546997071</v>
      </c>
      <c r="F133" s="2" t="n">
        <v>10</v>
      </c>
    </row>
    <row r="134">
      <c r="A134" s="2" t="n">
        <v>7.583689520195007</v>
      </c>
      <c r="B134" s="2" t="n">
        <v>328.7721166534424</v>
      </c>
      <c r="C134" s="2" t="n">
        <v>16.06551419990137</v>
      </c>
      <c r="D134" s="2" t="n">
        <v>-28.68536041259767</v>
      </c>
      <c r="E134" s="2" t="n">
        <v>-24.19913842773438</v>
      </c>
      <c r="F134" s="2" t="n">
        <v>10</v>
      </c>
    </row>
    <row r="135">
      <c r="A135" s="2" t="n">
        <v>7.6895972269516</v>
      </c>
      <c r="B135" s="2" t="n">
        <v>312.1742980499267</v>
      </c>
      <c r="C135" s="2" t="n">
        <v>16.19816509995144</v>
      </c>
      <c r="D135" s="2" t="n">
        <v>-16.59781860351563</v>
      </c>
      <c r="E135" s="2" t="n">
        <v>-22.21461663818359</v>
      </c>
      <c r="F135" s="2" t="n">
        <v>10</v>
      </c>
    </row>
    <row r="136">
      <c r="A136" s="2" t="n">
        <v>7.82325226891327</v>
      </c>
      <c r="B136" s="2" t="n">
        <v>290.2844213409424</v>
      </c>
      <c r="C136" s="2" t="n">
        <v>16.33103599993046</v>
      </c>
      <c r="D136" s="2" t="n">
        <v>-21.88987670898433</v>
      </c>
      <c r="E136" s="2" t="n">
        <v>-20.68112252807617</v>
      </c>
      <c r="F136" s="2" t="n">
        <v>10</v>
      </c>
    </row>
    <row r="137">
      <c r="A137" s="2" t="n">
        <v>7.93270905342865</v>
      </c>
      <c r="B137" s="2" t="n">
        <v>272.9048214263916</v>
      </c>
      <c r="C137" s="2" t="n">
        <v>16.44095570000354</v>
      </c>
      <c r="D137" s="2" t="n">
        <v>-17.37959991455079</v>
      </c>
      <c r="E137" s="2" t="n">
        <v>-18.27564157104492</v>
      </c>
      <c r="F137" s="2" t="n">
        <v>10</v>
      </c>
    </row>
    <row r="138">
      <c r="A138" s="2" t="n">
        <v>8.056926774986268</v>
      </c>
      <c r="B138" s="2" t="n">
        <v>254.0518644256592</v>
      </c>
      <c r="C138" s="2" t="n">
        <v>16.59983609989285</v>
      </c>
      <c r="D138" s="2" t="n">
        <v>-18.85295700073243</v>
      </c>
      <c r="E138" s="2" t="n">
        <v>-17.66224392700195</v>
      </c>
      <c r="F138" s="2" t="n">
        <v>10</v>
      </c>
    </row>
    <row r="139">
      <c r="A139" s="2" t="n">
        <v>8.182636722419739</v>
      </c>
      <c r="B139" s="2" t="n">
        <v>237.3939087982178</v>
      </c>
      <c r="C139" s="2" t="n">
        <v>16.72111859999131</v>
      </c>
      <c r="D139" s="2" t="n">
        <v>-16.65795562744142</v>
      </c>
      <c r="E139" s="2" t="n">
        <v>-17.34351770019532</v>
      </c>
      <c r="F139" s="2" t="n">
        <v>10</v>
      </c>
    </row>
    <row r="140">
      <c r="A140" s="2" t="n">
        <v>8.279066778343202</v>
      </c>
      <c r="B140" s="2" t="n">
        <v>223.863078414917</v>
      </c>
      <c r="C140" s="2" t="n">
        <v>16.81563480000477</v>
      </c>
      <c r="D140" s="2" t="n">
        <v>-13.53083038330078</v>
      </c>
      <c r="E140" s="2" t="n">
        <v>-16.84438040161133</v>
      </c>
      <c r="F140" s="2" t="n">
        <v>10</v>
      </c>
    </row>
    <row r="141">
      <c r="A141" s="2" t="n">
        <v>8.417964776084899</v>
      </c>
      <c r="B141" s="2" t="n">
        <v>203.5668328399658</v>
      </c>
      <c r="C141" s="2" t="n">
        <v>16.97401189990342</v>
      </c>
      <c r="D141" s="2" t="n">
        <v>-20.29624557495117</v>
      </c>
      <c r="E141" s="2" t="n">
        <v>-15.86414691162109</v>
      </c>
      <c r="F141" s="2" t="n">
        <v>10</v>
      </c>
    </row>
    <row r="142">
      <c r="A142" s="2" t="n">
        <v>8.535689298561097</v>
      </c>
      <c r="B142" s="2" t="n">
        <v>188.682919418335</v>
      </c>
      <c r="C142" s="2" t="n">
        <v>17.09403759997804</v>
      </c>
      <c r="D142" s="2" t="n">
        <v>-14.88391342163084</v>
      </c>
      <c r="E142" s="2" t="n">
        <v>-16.09868130493164</v>
      </c>
      <c r="F142" s="2" t="n">
        <v>10</v>
      </c>
    </row>
    <row r="143">
      <c r="A143" s="2" t="n">
        <v>8.647202934959413</v>
      </c>
      <c r="B143" s="2" t="n">
        <v>174.7311298675537</v>
      </c>
      <c r="C143" s="2" t="n">
        <v>17.2201364999637</v>
      </c>
      <c r="D143" s="2" t="n">
        <v>-13.95178955078123</v>
      </c>
      <c r="E143" s="2" t="n">
        <v>-16.16483203124999</v>
      </c>
      <c r="F143" s="2" t="n">
        <v>10</v>
      </c>
    </row>
    <row r="144">
      <c r="A144" s="2" t="n">
        <v>8.773033873680115</v>
      </c>
      <c r="B144" s="2" t="n">
        <v>156.9005022735596</v>
      </c>
      <c r="C144" s="2" t="n">
        <v>17.35834479995538</v>
      </c>
      <c r="D144" s="2" t="n">
        <v>-17.83062759399417</v>
      </c>
      <c r="E144" s="2" t="n">
        <v>-13.67215238952636</v>
      </c>
      <c r="F144" s="2" t="n">
        <v>10</v>
      </c>
    </row>
    <row r="145">
      <c r="A145" s="2" t="n">
        <v>8.877489684989929</v>
      </c>
      <c r="B145" s="2" t="n">
        <v>143.038918258667</v>
      </c>
      <c r="C145" s="2" t="n">
        <v>17.46752349997405</v>
      </c>
      <c r="D145" s="2" t="n">
        <v>-13.86158401489257</v>
      </c>
      <c r="F145" s="2" t="n">
        <v>10</v>
      </c>
    </row>
    <row r="146">
      <c r="A146" s="2" t="n">
        <v>8.957061621559143</v>
      </c>
      <c r="B146" s="2" t="n">
        <v>135.206070892334</v>
      </c>
      <c r="C146" s="2" t="n">
        <v>17.49929169996176</v>
      </c>
      <c r="D146" s="2" t="n">
        <v>-7.832847366332999</v>
      </c>
      <c r="F14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Resultados calculados Marshall</t>
        </is>
      </c>
      <c r="B1" s="5" t="n"/>
      <c r="C1" s="5" t="n"/>
      <c r="D1" s="5" t="n"/>
      <c r="E1" s="5" t="n"/>
    </row>
    <row r="2">
      <c r="A2" s="6" t="inlineStr">
        <is>
          <t>Ensayo: ensayo_20261015_163054</t>
        </is>
      </c>
    </row>
    <row r="4" ht="21" customHeight="1">
      <c r="A4" t="inlineStr">
        <is>
          <t>Estabilidad máxima (kp)</t>
        </is>
      </c>
      <c r="E4" s="7" t="n">
        <v>1768.542674972534</v>
      </c>
    </row>
    <row r="5" ht="21" customHeight="1">
      <c r="A5" t="inlineStr">
        <is>
          <t>95 % de estabilidad (kp)</t>
        </is>
      </c>
      <c r="E5" s="7" t="n">
        <v>1680</v>
      </c>
    </row>
    <row r="6" ht="21" customHeight="1">
      <c r="A6" t="inlineStr">
        <is>
          <t>Deformación a 50 kp (mm)</t>
        </is>
      </c>
      <c r="E6" s="2" t="n">
        <v>2.18</v>
      </c>
    </row>
    <row r="7" ht="21" customHeight="1">
      <c r="A7" t="inlineStr">
        <is>
          <t>Deformación al 95 % (mm)</t>
        </is>
      </c>
      <c r="E7" s="2" t="n">
        <v>3.54</v>
      </c>
    </row>
    <row r="8" ht="21" customHeight="1">
      <c r="A8" t="inlineStr">
        <is>
          <t>Deformación Marshall: d95 − d50 (mm)</t>
        </is>
      </c>
      <c r="E8" s="2" t="n">
        <v>1.36</v>
      </c>
    </row>
    <row r="9" ht="21" customHeight="1">
      <c r="A9" t="inlineStr">
        <is>
          <t>Pendiente tangente (kp/mm)</t>
        </is>
      </c>
      <c r="E9" s="2" t="n">
        <v>1675.44570041631</v>
      </c>
    </row>
    <row r="10" ht="21" customHeight="1">
      <c r="A10" t="inlineStr">
        <is>
          <t>Cero de la tangente (mm)</t>
        </is>
      </c>
      <c r="E10" s="2" t="n">
        <v>2.182360924351125</v>
      </c>
    </row>
    <row r="11" ht="21" customHeight="1">
      <c r="A11" t="inlineStr">
        <is>
          <t>Deformación al máximo (mm)</t>
        </is>
      </c>
      <c r="E11" s="2" t="n">
        <v>3.99537025391388</v>
      </c>
    </row>
    <row r="12" ht="21" customHeight="1">
      <c r="A12" t="inlineStr">
        <is>
          <t>Deformación corregida: dmáx − cero (mm)</t>
        </is>
      </c>
      <c r="E12" s="2" t="n">
        <v>1.81</v>
      </c>
    </row>
    <row r="14">
      <c r="A14" s="8" t="inlineStr">
        <is>
          <t>Media de 10 lecturas por punto; último bloque parcial incluido</t>
        </is>
      </c>
    </row>
  </sheetData>
  <mergeCells count="10">
    <mergeCell ref="A5:D5"/>
    <mergeCell ref="A9:D9"/>
    <mergeCell ref="A8:D8"/>
    <mergeCell ref="A6:D6"/>
    <mergeCell ref="A12:D12"/>
    <mergeCell ref="A4:D4"/>
    <mergeCell ref="A14:L14"/>
    <mergeCell ref="A7:D7"/>
    <mergeCell ref="A11:D11"/>
    <mergeCell ref="A10:D10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9" t="inlineStr">
        <is>
          <t>Campo</t>
        </is>
      </c>
      <c r="B1" s="9" t="inlineStr">
        <is>
          <t>Valor</t>
        </is>
      </c>
    </row>
    <row r="2">
      <c r="A2" t="inlineStr">
        <is>
          <t>reference</t>
        </is>
      </c>
      <c r="B2" t="inlineStr">
        <is>
          <t>ensayo_20261015_163054</t>
        </is>
      </c>
    </row>
    <row r="3">
      <c r="A3" t="inlineStr">
        <is>
          <t>operator</t>
        </is>
      </c>
      <c r="B3" t="inlineStr"/>
    </row>
    <row r="4">
      <c r="A4" t="inlineStr">
        <is>
          <t>sample_id</t>
        </is>
      </c>
      <c r="B4" t="inlineStr"/>
    </row>
    <row r="5">
      <c r="A5" t="inlineStr">
        <is>
          <t>notes</t>
        </is>
      </c>
      <c r="B5" t="inlineStr">
        <is>
          <t xml:space="preserve">
Recalculado con calibración inicial conservando la misma tara física. No es una nueva adquisición.</t>
        </is>
      </c>
    </row>
    <row r="6">
      <c r="A6" t="inlineStr">
        <is>
          <t>demo</t>
        </is>
      </c>
      <c r="B6" t="inlineStr">
        <is>
          <t>False</t>
        </is>
      </c>
    </row>
    <row r="7">
      <c r="A7" t="inlineStr">
        <is>
          <t>source</t>
        </is>
      </c>
      <c r="B7" t="inlineStr">
        <is>
          <t>Adquisición</t>
        </is>
      </c>
    </row>
    <row r="8">
      <c r="A8" t="inlineStr">
        <is>
          <t>Fecha adquisición</t>
        </is>
      </c>
      <c r="B8" t="inlineStr">
        <is>
          <t>2026-10-15T14:32:36+00:00</t>
        </is>
      </c>
    </row>
    <row r="9">
      <c r="A9" t="inlineStr">
        <is>
          <t>ID ensayo</t>
        </is>
      </c>
      <c r="B9" t="inlineStr">
        <is>
          <t>6dba5474-c2fc-4289-8981-f90f124e5c55</t>
        </is>
      </c>
    </row>
    <row r="10">
      <c r="A10" t="inlineStr">
        <is>
          <t>device_description</t>
        </is>
      </c>
      <c r="B10" t="inlineStr">
        <is>
          <t>USB-4716,BID#0</t>
        </is>
      </c>
    </row>
    <row r="11">
      <c r="A11" t="inlineStr">
        <is>
          <t>logo_path</t>
        </is>
      </c>
      <c r="B11" t="inlineStr">
        <is>
          <t>assets/uc_logo_2024.png</t>
        </is>
      </c>
    </row>
    <row r="12">
      <c r="A12" t="inlineStr">
        <is>
          <t>input_mode</t>
        </is>
      </c>
      <c r="B12" t="inlineStr">
        <is>
          <t>Differential</t>
        </is>
      </c>
    </row>
    <row r="13">
      <c r="A13" t="inlineStr">
        <is>
          <t>input_range</t>
        </is>
      </c>
      <c r="B13" t="inlineStr">
        <is>
          <t>V_Neg5To5</t>
        </is>
      </c>
    </row>
    <row r="14">
      <c r="A14" t="inlineStr">
        <is>
          <t>force_channel</t>
        </is>
      </c>
      <c r="B14" t="inlineStr">
        <is>
          <t>0</t>
        </is>
      </c>
    </row>
    <row r="15">
      <c r="A15" t="inlineStr">
        <is>
          <t>deformation_channel</t>
        </is>
      </c>
      <c r="B15" t="inlineStr">
        <is>
          <t>2</t>
        </is>
      </c>
    </row>
    <row r="16">
      <c r="A16" t="inlineStr">
        <is>
          <t>force_factor_kp_per_v</t>
        </is>
      </c>
      <c r="B16" t="inlineStr">
        <is>
          <t>-1970.57</t>
        </is>
      </c>
    </row>
    <row r="17">
      <c r="A17" t="inlineStr">
        <is>
          <t>force_offset_kp</t>
        </is>
      </c>
      <c r="B17" t="inlineStr">
        <is>
          <t>0.0</t>
        </is>
      </c>
    </row>
    <row r="18">
      <c r="A18" t="inlineStr">
        <is>
          <t>deformation_factor_mm_per_v</t>
        </is>
      </c>
      <c r="B18" t="inlineStr">
        <is>
          <t>2.643095</t>
        </is>
      </c>
    </row>
    <row r="19">
      <c r="A19" t="inlineStr">
        <is>
          <t>deformation_offset_mm</t>
        </is>
      </c>
      <c r="B19" t="inlineStr">
        <is>
          <t>0.0</t>
        </is>
      </c>
    </row>
    <row r="20">
      <c r="A20" t="inlineStr">
        <is>
          <t>sample_hz</t>
        </is>
      </c>
      <c r="B20" t="inlineStr">
        <is>
          <t>100.0</t>
        </is>
      </c>
    </row>
    <row r="21">
      <c r="A21" t="inlineStr">
        <is>
          <t>display_average_samples</t>
        </is>
      </c>
      <c r="B21" t="inlineStr">
        <is>
          <t>10</t>
        </is>
      </c>
    </row>
    <row r="22">
      <c r="A22" t="inlineStr">
        <is>
          <t>tare_samples</t>
        </is>
      </c>
      <c r="B22" t="inlineStr">
        <is>
          <t>100</t>
        </is>
      </c>
    </row>
    <row r="23">
      <c r="A23" t="inlineStr">
        <is>
          <t>saturation_voltage</t>
        </is>
      </c>
      <c r="B23" t="inlineStr">
        <is>
          <t>4.95</t>
        </is>
      </c>
    </row>
    <row r="24">
      <c r="A24" t="inlineStr">
        <is>
          <t>output_directory</t>
        </is>
      </c>
      <c r="B24" t="inlineStr">
        <is>
          <t>ensayos</t>
        </is>
      </c>
    </row>
    <row r="25">
      <c r="A25" t="inlineStr">
        <is>
          <t>display_unit</t>
        </is>
      </c>
      <c r="B25" t="inlineStr">
        <is>
          <t>kp</t>
        </is>
      </c>
    </row>
    <row r="26">
      <c r="A26" t="inlineStr">
        <is>
          <t>specimen_area_mm2</t>
        </is>
      </c>
      <c r="B26" t="inlineStr">
        <is>
          <t>0.0</t>
        </is>
      </c>
    </row>
    <row r="27">
      <c r="A27" t="inlineStr">
        <is>
          <t>pinout</t>
        </is>
      </c>
      <c r="B27" t="inlineStr">
        <is>
          <t>{"legacy_force_high": 1, "legacy_force_low": 20, "legacy_deformation_high": 2, "legacy_deformation_low": 21, "usb_force_plus": 0, "usb_force_minus": 1, "usb_deformation_plus": 2, "usb_deformation_minus": 3}</t>
        </is>
      </c>
    </row>
    <row r="28">
      <c r="A28" t="inlineStr">
        <is>
          <t>calibration_history</t>
        </is>
      </c>
      <c r="B28" t="inlineStr">
        <is>
          <t>[{"date": "2026-10-09T10:17:03.688304", "method": "ring_zero_and_1mm", "demo": false, "force_at_1mm_kp": 1787.17, "deformation_reference_mm": 1.0, "zero": {"t": 30375.5162564, "vf": -0.156402587890625, "vd": -2.25128173828125, "sigma_f": 0.0009450560760200701, "sigma_d": 0.004310150880151899, "demo": false, "captured_at": "2026-10-09T10:10:30.956124"}, "one_mm": {"t": 30764.1641839, "vf": -1.07177734375, "vd": -1.471710205078125, "sigma_f": 0.0013195682322619052, "sigma_d": 0.004857017776580997, "demo": false, "captured_at": "2026-10-09T10:16:59.602752"}, "force_fit": {"factor": -1952.391617269545, "offset": -305.3591015169195, "r2": 1.0, "max_error": 0.0, "residuals": [0.0, 0.0]}, "deformation_fit": {"factor": 1.28275592092386, "offset": 2.887844979448033, "r2": 1.0, "max_error": 2.220446049250313e-16, "residuals": [0.0, -2.220446049250313e-16]}}, {"date": "2026-10-15T10:15:09.068578+02:00", "method": "restore_previous_deformation", "sensor": "Deformación (mm)", "source": "git HEAD:config.json", "previous_calibration": {"deformation_factor_mm_per_v": 1.28275592092386, "deformation_offset_mm": 2.887844979448033}, "restored_calibration": {"deformation_factor_mm_per_v": 2.643095, "deformation_offset_mm": 0.0}}]</t>
        </is>
      </c>
    </row>
    <row r="29">
      <c r="A29" t="inlineStr">
        <is>
          <t>stable_zero</t>
        </is>
      </c>
      <c r="B29" t="inlineStr">
        <is>
          <t>{"enabled": false, "noise_sigma_multiplier": 5, "confirmation_seconds": 0.3}</t>
        </is>
      </c>
    </row>
    <row r="30">
      <c r="A30" t="inlineStr">
        <is>
          <t>display_processing</t>
        </is>
      </c>
      <c r="B30" t="inlineStr">
        <is>
          <t>Kalman</t>
        </is>
      </c>
    </row>
    <row r="31">
      <c r="A31" t="inlineStr">
        <is>
          <t>deformation_processing</t>
        </is>
      </c>
      <c r="B31" t="inlineStr">
        <is>
          <t>filtered_running_max_deadband_0.02mm_fixed_tare</t>
        </is>
      </c>
    </row>
    <row r="32">
      <c r="A32" t="inlineStr">
        <is>
          <t>legacy_processing</t>
        </is>
      </c>
      <c r="B32" t="inlineStr">
        <is>
          <t>{"block_samples": 10, "tare_samples": 100, "export_held_samples": 10, "truncation": "floor"}</t>
        </is>
      </c>
    </row>
    <row r="33">
      <c r="A33" t="inlineStr">
        <is>
          <t>tare_statistics</t>
        </is>
      </c>
      <c r="B33" t="inlineStr">
        <is>
          <t>{"stability": {"method": "trimmed_mean_10_percent_each_tail", "samples": 100, "duration_s": 1.0140266000526026, "channels": [{"mean_v": -0.15477752685546875, "std_v": 0.0009853313726686669, "drift_v": 0.0005376906622023836}, {"mean_v": 0.17832565307617188, "std_v": 0.004833273333739006, "drift_v": 0.001344226655505959}]}, "method": "legacy_mean_100", "samples": 100, "duration_s": 1.0140266000526026, "channels": [{"mean_v": -0.15481414794921874}, {"mean_v": 0.17857513427734376}]}</t>
        </is>
      </c>
    </row>
    <row r="34">
      <c r="A34" t="inlineStr">
        <is>
          <t>zero_force_v</t>
        </is>
      </c>
      <c r="B34" t="inlineStr">
        <is>
          <t>-0.15481414794921874</t>
        </is>
      </c>
    </row>
    <row r="35">
      <c r="A35" t="inlineStr">
        <is>
          <t>zero_deform_v</t>
        </is>
      </c>
      <c r="B35" t="inlineStr">
        <is>
          <t>0.17857513427734376</t>
        </is>
      </c>
    </row>
    <row r="36">
      <c r="A36" t="inlineStr">
        <is>
          <t>rupture_estimate</t>
        </is>
      </c>
      <c r="B36" t="inlineStr">
        <is>
          <t>{"index": 1079, "t": 12.794509699917398, "confirmed_at": 13.956384499906562, "force_kp": 1714.3277035005835, "drop_kp": 171.30198728121354, "method": "mean_1s_drop_10pct_6sigma_0.5s"}</t>
        </is>
      </c>
    </row>
    <row r="37">
      <c r="A37" t="inlineStr">
        <is>
          <t>calibration_comparison</t>
        </is>
      </c>
      <c r="B37" t="inlineStr">
        <is>
          <t>{"method": "same_physical_tare", "source_session_id": "6dba5474-c2fc-4289-8981-f90f124e5c55", "scenario": "Calibración inicial"}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2026-10-15T14:46:56Z</dcterms:created>
  <dcterms:modified xsi:type="dcterms:W3CDTF">2026-10-15T14:46:56Z</dcterms:modified>
</cp:coreProperties>
</file>